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3" sheetId="2" r:id="rId6"/>
    <sheet state="visible" name="Sheet2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tc={214c62b6-7bc4-4746-ada7-f662a2497448}</author>
    <author>tc={bdb13f12-7449-4277-86d2-f5f0c2ee0470}</author>
  </authors>
  <commentList>
    <comment authorId="0" xr:uid="{214c62b6-7bc4-4746-ada7-f662a2497448}" ref="D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BPP perkreditan 2014 hal 11
</t>
      </text>
    </comment>
    <comment authorId="1" xr:uid="{bdb13f12-7449-4277-86d2-f5f0c2ee0470}" ref="D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BPP perkreditan 2014 hal 11
</t>
      </text>
    </comment>
  </commentList>
</comments>
</file>

<file path=xl/sharedStrings.xml><?xml version="1.0" encoding="utf-8"?>
<sst xmlns="http://schemas.openxmlformats.org/spreadsheetml/2006/main" count="157" uniqueCount="108">
  <si>
    <t>Lampiran Keputusan Direksi PT Bank Pembangunan Daerah Bali Nomor 0118/KEP/DIR/KPN/2023 Tanggal 16 Maret 2023 tentang Check List Kepatuhan dan Pelaksanaan Uji Kepatuhan Dalam Rangka Monitoring</t>
  </si>
  <si>
    <t xml:space="preserve">CHECK LIST KEPATUHAN SEBELUM PERSETUJUAN KREDIT </t>
  </si>
  <si>
    <t>Cabang / Capem</t>
  </si>
  <si>
    <t>Tgl File Diterima</t>
  </si>
  <si>
    <t>I. Informasi Debitur</t>
  </si>
  <si>
    <t>Nama Pemohon (Debitur / Calon Debitur)</t>
  </si>
  <si>
    <t>Grup Kelompok Usaha</t>
  </si>
  <si>
    <t>Alamat Pemohon</t>
  </si>
  <si>
    <t>Nama Perusahaan/Pemohon (Debitur / Calon Debitur)</t>
  </si>
  <si>
    <t>Alamat Usaha/Perusahaan</t>
  </si>
  <si>
    <t>Nama Pemilik/Pengurus Perusahaan</t>
  </si>
  <si>
    <t>Alamat Pemilik/Pengurus Perusahaan</t>
  </si>
  <si>
    <t>Jenis Usaha</t>
  </si>
  <si>
    <t>Plafond</t>
  </si>
  <si>
    <t>Total fasilitas</t>
  </si>
  <si>
    <t>Tujuan Penggunaan</t>
  </si>
  <si>
    <t>II. Persyaratan Administrasi</t>
  </si>
  <si>
    <t>Pengujian</t>
  </si>
  <si>
    <t>Checklist</t>
  </si>
  <si>
    <t>Keterangan / Catatan</t>
  </si>
  <si>
    <t>KTP Suami/Istri (debitur) yang masih berlaku</t>
  </si>
  <si>
    <t>KTP seluruh pengurus/persero yang masih berlaku</t>
  </si>
  <si>
    <t>KTP pemilik jaminan (suami + istri) yang masih berlaku</t>
  </si>
  <si>
    <t>Kartu Keluarga</t>
  </si>
  <si>
    <t>Informasi Debitur (iDeb) SLIK OJK suami/istri/pengurus/persero</t>
  </si>
  <si>
    <t>Daftar Hitam Nasional (DHN) a.n Seluruh Group / Kelompok Usaha Debitur</t>
  </si>
  <si>
    <t>Appraisal independen</t>
  </si>
  <si>
    <t>Akuntan Publik</t>
  </si>
  <si>
    <t>Lainnya :</t>
  </si>
  <si>
    <t>-</t>
  </si>
  <si>
    <t>III. Legalitas Usaha</t>
  </si>
  <si>
    <t>Akta Pendirian</t>
  </si>
  <si>
    <t>Akta Perubahan (awal s/d akhir)</t>
  </si>
  <si>
    <t>Pengesahan</t>
  </si>
  <si>
    <t>Surat Persetujuan dari Persero/Komisaris</t>
  </si>
  <si>
    <t>NIB yang masih berlaku (menyesuaikan dengan karakteristik usaha)</t>
  </si>
  <si>
    <t>NPWP</t>
  </si>
  <si>
    <t>Surat Keterangan Usaha dari Kepala Desa atau Kelurahan sesuai sektor usaha</t>
  </si>
  <si>
    <t xml:space="preserve">Lainnya </t>
  </si>
  <si>
    <t>IV. Uji Terhadap Prinsip Kehati-hatian</t>
  </si>
  <si>
    <t>Pihak Pemohon adalah Pihak Terkait</t>
  </si>
  <si>
    <t>Pihak Pemohon adalah Bukan Pihak Terkait</t>
  </si>
  <si>
    <t>BMPK</t>
  </si>
  <si>
    <t>Sektor Usaha</t>
  </si>
  <si>
    <t>Tujuan Penggunaan Kredit</t>
  </si>
  <si>
    <t>Agunan</t>
  </si>
  <si>
    <t>Lainnya</t>
  </si>
  <si>
    <t>V. Jaminan</t>
  </si>
  <si>
    <t>SHGB, SHGP, SHM</t>
  </si>
  <si>
    <t>BPKB</t>
  </si>
  <si>
    <t>Surat Perintah Kerja (SPK)</t>
  </si>
  <si>
    <t>Piutang Usaha</t>
  </si>
  <si>
    <t>Jaminan Perorangan (Borgtocht)</t>
  </si>
  <si>
    <t>Deposito</t>
  </si>
  <si>
    <t>Asuransi Penjaminan</t>
  </si>
  <si>
    <t>Persyaratan CEV Controlled</t>
  </si>
  <si>
    <t>Persyaratan Minimum Total CEV</t>
  </si>
  <si>
    <t>VI. Kelengkapan Formulir &amp; Analisa Kredit</t>
  </si>
  <si>
    <t>Pengisian formulir permohonan kredit telah lengkap</t>
  </si>
  <si>
    <t>Laporan Keuangan (Neraca-Laba/Rugi)</t>
  </si>
  <si>
    <t>PBB Tahun Terakhir</t>
  </si>
  <si>
    <t>SPT Tahun Terakhir</t>
  </si>
  <si>
    <t>Perhitungan pemberian kredit telah sesuai dengan metode analisa yang dipergunakan</t>
  </si>
  <si>
    <t>Penggunaan formulir analisa kredit telah sesuai dengan ketentuan</t>
  </si>
  <si>
    <t>Analis telah melakukan On The Spot sesuai ketentuan</t>
  </si>
  <si>
    <t>Analisa rasio keuangan telah sesuai dengan ketentuan</t>
  </si>
  <si>
    <t>Rekomendasi :</t>
  </si>
  <si>
    <t>…............................. , …...................................................</t>
  </si>
  <si>
    <t>Dibuat Oleh</t>
  </si>
  <si>
    <t>Officer Kepatuhan</t>
  </si>
  <si>
    <t>….........................................................................................</t>
  </si>
  <si>
    <t>NRK…......................</t>
  </si>
  <si>
    <t>Unit</t>
  </si>
  <si>
    <t>Ketentuan</t>
  </si>
  <si>
    <t>Terpenuhi</t>
  </si>
  <si>
    <t>Tdk terpenuhi</t>
  </si>
  <si>
    <t>Teller</t>
  </si>
  <si>
    <t>cek…</t>
  </si>
  <si>
    <t>Total</t>
  </si>
  <si>
    <t>Done</t>
  </si>
  <si>
    <t>Formulir Pre Screening</t>
  </si>
  <si>
    <t>KTP Suami &amp; Istri</t>
  </si>
  <si>
    <t>KTP Pemilik Agunan</t>
  </si>
  <si>
    <t>PERHITUNGAN AGUNAN</t>
  </si>
  <si>
    <t>No.</t>
  </si>
  <si>
    <t>Taksasi</t>
  </si>
  <si>
    <t>CEF</t>
  </si>
  <si>
    <t>CEV</t>
  </si>
  <si>
    <t>1.</t>
  </si>
  <si>
    <t>Controlled</t>
  </si>
  <si>
    <t>Bangunan</t>
  </si>
  <si>
    <t>Penjaminan suami</t>
  </si>
  <si>
    <t>Penjaminan istri</t>
  </si>
  <si>
    <t>Persentase Thd Plafond</t>
  </si>
  <si>
    <t>Persentase Thd Baki Debet</t>
  </si>
  <si>
    <t>2.</t>
  </si>
  <si>
    <t>Uncontrolled</t>
  </si>
  <si>
    <t>Persediaan</t>
  </si>
  <si>
    <t>Total Controlled + Uncontrolled</t>
  </si>
  <si>
    <t>Persentase masing-masing fasilitas</t>
  </si>
  <si>
    <t>KUR suami</t>
  </si>
  <si>
    <t>KUR ybs</t>
  </si>
  <si>
    <t>HT</t>
  </si>
  <si>
    <t>%tase thp plafond</t>
  </si>
  <si>
    <t>CEV Controlled</t>
  </si>
  <si>
    <t>CEV Uncontrolled</t>
  </si>
  <si>
    <t>Total CEV</t>
  </si>
  <si>
    <t>%tase total CEV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</si>
</sst>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-&quot;Rp&quot;* #,##0_-;\-&quot;Rp&quot;* #,##0_-;_-&quot;Rp&quot;* &quot;-&quot;_-;_-@"/>
    <numFmt numFmtId="165" formatCode="0.0%"/>
    <numFmt numFmtId="166" formatCode="_(* #,##0.00_);_(* \(#,##0.00\);_(* &quot;-&quot;??_);_(@_)"/>
    <numFmt numFmtId="167" formatCode="_(* #,##0_);_(* \(#,##0\);_(* &quot;-&quot;_);_(@_)"/>
    <numFmt numFmtId="168" formatCode="_-* #,##0_-;\-* #,##0_-;_-* &quot;-&quot;_-;_-@"/>
  </numFmts>
  <fonts count="10">
    <font>
      <sz val="11.0"/>
      <color theme="1"/>
      <name val="Calibri"/>
      <scheme val="minor"/>
    </font>
    <font>
      <b/>
      <sz val="11.0"/>
      <color theme="1"/>
      <name val="Times New Roman"/>
    </font>
    <font>
      <sz val="11.0"/>
      <color theme="1"/>
      <name val="Times New Roman"/>
    </font>
    <font>
      <b/>
      <sz val="11.0"/>
      <color theme="0"/>
      <name val="Times New Roman"/>
    </font>
    <font/>
    <font>
      <i/>
      <sz val="11.0"/>
      <color theme="1"/>
      <name val="Times New Roman"/>
    </font>
    <font>
      <i/>
      <sz val="11.0"/>
      <color rgb="FFFF0000"/>
      <name val="Times New Roman"/>
    </font>
    <font>
      <u/>
      <sz val="11.0"/>
      <color theme="1"/>
      <name val="Times New Roman"/>
    </font>
    <font>
      <sz val="11.0"/>
      <color theme="1"/>
      <name val="Calibri"/>
    </font>
    <font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D0CECE"/>
        <bgColor rgb="FFD0CECE"/>
      </patternFill>
    </fill>
    <fill>
      <patternFill patternType="solid">
        <fgColor rgb="FFAEABAB"/>
        <bgColor rgb="FFAEABAB"/>
      </patternFill>
    </fill>
  </fills>
  <borders count="11">
    <border/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1" fillId="0" fontId="2" numFmtId="0" xfId="0" applyBorder="1" applyFont="1"/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2" fillId="2" fontId="3" numFmtId="0" xfId="0" applyAlignment="1" applyBorder="1" applyFill="1" applyFont="1">
      <alignment horizontal="center"/>
    </xf>
    <xf borderId="3" fillId="2" fontId="3" numFmtId="0" xfId="0" applyAlignment="1" applyBorder="1" applyFont="1">
      <alignment horizontal="center"/>
    </xf>
    <xf borderId="4" fillId="0" fontId="4" numFmtId="0" xfId="0" applyBorder="1" applyFont="1"/>
    <xf borderId="2" fillId="0" fontId="2" numFmtId="0" xfId="0" applyAlignment="1" applyBorder="1" applyFont="1">
      <alignment horizontal="center" vertical="top"/>
    </xf>
    <xf borderId="3" fillId="0" fontId="2" numFmtId="0" xfId="0" applyAlignment="1" applyBorder="1" applyFont="1">
      <alignment horizontal="center"/>
    </xf>
    <xf borderId="0" fillId="0" fontId="1" numFmtId="0" xfId="0" applyFont="1"/>
    <xf borderId="2" fillId="0" fontId="2" numFmtId="0" xfId="0" applyBorder="1" applyFont="1"/>
    <xf borderId="3" fillId="0" fontId="2" numFmtId="0" xfId="0" applyAlignment="1" applyBorder="1" applyFont="1">
      <alignment horizontal="left" readingOrder="0"/>
    </xf>
    <xf borderId="0" fillId="0" fontId="2" numFmtId="0" xfId="0" applyAlignment="1" applyFont="1">
      <alignment vertical="top"/>
    </xf>
    <xf borderId="2" fillId="0" fontId="2" numFmtId="0" xfId="0" applyAlignment="1" applyBorder="1" applyFont="1">
      <alignment vertical="top"/>
    </xf>
    <xf borderId="3" fillId="0" fontId="2" numFmtId="0" xfId="0" applyAlignment="1" applyBorder="1" applyFont="1">
      <alignment horizontal="left" readingOrder="0" shrinkToFit="0" vertical="top" wrapText="1"/>
    </xf>
    <xf borderId="3" fillId="0" fontId="2" numFmtId="0" xfId="0" applyAlignment="1" applyBorder="1" applyFont="1">
      <alignment horizontal="left" readingOrder="0" shrinkToFit="0" wrapText="1"/>
    </xf>
    <xf borderId="5" fillId="0" fontId="2" numFmtId="0" xfId="0" applyAlignment="1" applyBorder="1" applyFont="1">
      <alignment vertical="top"/>
    </xf>
    <xf borderId="6" fillId="0" fontId="2" numFmtId="0" xfId="0" applyAlignment="1" applyBorder="1" applyFont="1">
      <alignment horizontal="left" readingOrder="0" shrinkToFit="0" vertical="top" wrapText="1"/>
    </xf>
    <xf borderId="7" fillId="0" fontId="4" numFmtId="0" xfId="0" applyBorder="1" applyFont="1"/>
    <xf borderId="0" fillId="0" fontId="2" numFmtId="0" xfId="0" applyAlignment="1" applyFont="1">
      <alignment horizontal="left" vertical="top"/>
    </xf>
    <xf borderId="3" fillId="0" fontId="2" numFmtId="0" xfId="0" applyAlignment="1" applyBorder="1" applyFont="1">
      <alignment horizontal="left" readingOrder="0" vertical="center"/>
    </xf>
    <xf borderId="7" fillId="0" fontId="2" numFmtId="164" xfId="0" applyAlignment="1" applyBorder="1" applyFont="1" applyNumberFormat="1">
      <alignment vertical="top"/>
    </xf>
    <xf quotePrefix="1" borderId="2" fillId="0" fontId="2" numFmtId="0" xfId="0" applyBorder="1" applyFont="1"/>
    <xf borderId="3" fillId="0" fontId="2" numFmtId="0" xfId="0" applyAlignment="1" applyBorder="1" applyFont="1">
      <alignment readingOrder="0"/>
    </xf>
    <xf borderId="4" fillId="0" fontId="2" numFmtId="164" xfId="0" applyBorder="1" applyFont="1" applyNumberFormat="1"/>
    <xf borderId="8" fillId="2" fontId="3" numFmtId="0" xfId="0" applyAlignment="1" applyBorder="1" applyFont="1">
      <alignment horizontal="center"/>
    </xf>
    <xf borderId="2" fillId="0" fontId="5" numFmtId="0" xfId="0" applyAlignment="1" applyBorder="1" applyFont="1">
      <alignment horizontal="center" readingOrder="0" vertical="top"/>
    </xf>
    <xf borderId="2" fillId="0" fontId="2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horizontal="center" readingOrder="0" vertical="top"/>
    </xf>
    <xf borderId="5" fillId="0" fontId="2" numFmtId="0" xfId="0" applyAlignment="1" applyBorder="1" applyFont="1">
      <alignment horizontal="left" shrinkToFit="0" vertical="top" wrapText="1"/>
    </xf>
    <xf borderId="2" fillId="0" fontId="2" numFmtId="0" xfId="0" applyAlignment="1" applyBorder="1" applyFont="1">
      <alignment horizontal="left" shrinkToFit="0" vertical="top" wrapText="1"/>
    </xf>
    <xf borderId="9" fillId="0" fontId="2" numFmtId="0" xfId="0" applyAlignment="1" applyBorder="1" applyFont="1">
      <alignment horizontal="left" readingOrder="0" vertical="top"/>
    </xf>
    <xf borderId="5" fillId="0" fontId="2" numFmtId="0" xfId="0" applyAlignment="1" applyBorder="1" applyFont="1">
      <alignment horizontal="center" readingOrder="0" vertical="top"/>
    </xf>
    <xf borderId="5" fillId="0" fontId="2" numFmtId="0" xfId="0" applyAlignment="1" applyBorder="1" applyFont="1">
      <alignment horizontal="left" readingOrder="0" vertical="top"/>
    </xf>
    <xf quotePrefix="1" borderId="9" fillId="0" fontId="2" numFmtId="0" xfId="0" applyAlignment="1" applyBorder="1" applyFont="1">
      <alignment horizontal="left" shrinkToFit="0" vertical="top" wrapText="1"/>
    </xf>
    <xf borderId="9" fillId="0" fontId="5" numFmtId="0" xfId="0" applyAlignment="1" applyBorder="1" applyFont="1">
      <alignment horizontal="center" vertical="top"/>
    </xf>
    <xf borderId="9" fillId="0" fontId="2" numFmtId="0" xfId="0" applyAlignment="1" applyBorder="1" applyFont="1">
      <alignment horizontal="left" vertical="top"/>
    </xf>
    <xf borderId="0" fillId="0" fontId="2" numFmtId="0" xfId="0" applyAlignment="1" applyFont="1">
      <alignment horizontal="left" shrinkToFit="0" vertical="top" wrapText="1"/>
    </xf>
    <xf borderId="0" fillId="0" fontId="6" numFmtId="0" xfId="0" applyAlignment="1" applyFont="1">
      <alignment horizontal="center" vertical="top"/>
    </xf>
    <xf borderId="8" fillId="2" fontId="3" numFmtId="0" xfId="0" applyAlignment="1" applyBorder="1" applyFont="1">
      <alignment horizontal="left" vertical="top"/>
    </xf>
    <xf borderId="2" fillId="0" fontId="5" numFmtId="0" xfId="0" applyAlignment="1" applyBorder="1" applyFont="1">
      <alignment horizontal="center" vertical="top"/>
    </xf>
    <xf borderId="2" fillId="0" fontId="2" numFmtId="0" xfId="0" applyAlignment="1" applyBorder="1" applyFont="1">
      <alignment horizontal="left" vertical="top"/>
    </xf>
    <xf borderId="5" fillId="0" fontId="2" numFmtId="0" xfId="0" applyAlignment="1" applyBorder="1" applyFont="1">
      <alignment horizontal="center" vertical="top"/>
    </xf>
    <xf borderId="5" fillId="0" fontId="2" numFmtId="0" xfId="0" applyAlignment="1" applyBorder="1" applyFont="1">
      <alignment horizontal="left" vertical="top"/>
    </xf>
    <xf borderId="9" fillId="0" fontId="2" numFmtId="0" xfId="0" applyAlignment="1" applyBorder="1" applyFont="1">
      <alignment horizontal="left" shrinkToFit="0" vertical="top" wrapText="1"/>
    </xf>
    <xf borderId="0" fillId="0" fontId="2" numFmtId="0" xfId="0" applyAlignment="1" applyFont="1">
      <alignment horizontal="center" vertical="top"/>
    </xf>
    <xf borderId="5" fillId="0" fontId="6" numFmtId="0" xfId="0" applyAlignment="1" applyBorder="1" applyFont="1">
      <alignment horizontal="center" vertical="top"/>
    </xf>
    <xf borderId="0" fillId="0" fontId="2" numFmtId="10" xfId="0" applyFont="1" applyNumberFormat="1"/>
    <xf borderId="0" fillId="0" fontId="2" numFmtId="165" xfId="0" applyFont="1" applyNumberFormat="1"/>
    <xf borderId="0" fillId="0" fontId="2" numFmtId="166" xfId="0" applyFont="1" applyNumberFormat="1"/>
    <xf borderId="5" fillId="0" fontId="5" numFmtId="0" xfId="0" applyAlignment="1" applyBorder="1" applyFont="1">
      <alignment horizontal="center" vertical="top"/>
    </xf>
    <xf borderId="9" fillId="0" fontId="6" numFmtId="0" xfId="0" applyAlignment="1" applyBorder="1" applyFont="1">
      <alignment horizontal="center" vertical="top"/>
    </xf>
    <xf borderId="0" fillId="0" fontId="5" numFmtId="0" xfId="0" applyAlignment="1" applyFont="1">
      <alignment horizontal="center" vertical="top"/>
    </xf>
    <xf borderId="2" fillId="0" fontId="6" numFmtId="0" xfId="0" applyAlignment="1" applyBorder="1" applyFont="1">
      <alignment horizontal="center" vertical="top"/>
    </xf>
    <xf borderId="2" fillId="0" fontId="5" numFmtId="0" xfId="0" applyAlignment="1" applyBorder="1" applyFont="1">
      <alignment horizontal="center"/>
    </xf>
    <xf borderId="0" fillId="0" fontId="2" numFmtId="0" xfId="0" applyAlignment="1" applyFont="1">
      <alignment horizontal="left"/>
    </xf>
    <xf borderId="0" fillId="0" fontId="7" numFmtId="0" xfId="0" applyAlignment="1" applyFont="1">
      <alignment horizontal="left"/>
    </xf>
    <xf borderId="2" fillId="3" fontId="8" numFmtId="0" xfId="0" applyBorder="1" applyFill="1" applyFont="1"/>
    <xf borderId="2" fillId="0" fontId="8" numFmtId="0" xfId="0" applyBorder="1" applyFont="1"/>
    <xf borderId="2" fillId="0" fontId="8" numFmtId="9" xfId="0" applyBorder="1" applyFont="1" applyNumberFormat="1"/>
    <xf borderId="0" fillId="0" fontId="9" numFmtId="0" xfId="0" applyFont="1"/>
    <xf borderId="2" fillId="0" fontId="8" numFmtId="0" xfId="0" applyAlignment="1" applyBorder="1" applyFont="1">
      <alignment horizontal="center"/>
    </xf>
    <xf borderId="5" fillId="0" fontId="8" numFmtId="0" xfId="0" applyBorder="1" applyFont="1"/>
    <xf borderId="2" fillId="4" fontId="8" numFmtId="0" xfId="0" applyBorder="1" applyFill="1" applyFont="1"/>
    <xf borderId="10" fillId="0" fontId="8" numFmtId="0" xfId="0" applyBorder="1" applyFont="1"/>
    <xf borderId="2" fillId="0" fontId="8" numFmtId="0" xfId="0" applyAlignment="1" applyBorder="1" applyFont="1">
      <alignment horizontal="left" shrinkToFit="0" wrapText="1"/>
    </xf>
    <xf borderId="2" fillId="0" fontId="8" numFmtId="167" xfId="0" applyAlignment="1" applyBorder="1" applyFont="1" applyNumberFormat="1">
      <alignment vertical="top"/>
    </xf>
    <xf borderId="2" fillId="0" fontId="8" numFmtId="9" xfId="0" applyAlignment="1" applyBorder="1" applyFont="1" applyNumberFormat="1">
      <alignment vertical="top"/>
    </xf>
    <xf borderId="0" fillId="0" fontId="8" numFmtId="166" xfId="0" applyFont="1" applyNumberFormat="1"/>
    <xf borderId="0" fillId="0" fontId="8" numFmtId="10" xfId="0" applyFont="1" applyNumberFormat="1"/>
    <xf borderId="2" fillId="0" fontId="8" numFmtId="10" xfId="0" applyBorder="1" applyFont="1" applyNumberFormat="1"/>
    <xf borderId="9" fillId="0" fontId="8" numFmtId="0" xfId="0" applyBorder="1" applyFont="1"/>
    <xf borderId="2" fillId="0" fontId="8" numFmtId="167" xfId="0" applyBorder="1" applyFont="1" applyNumberFormat="1"/>
    <xf borderId="2" fillId="0" fontId="8" numFmtId="168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enovo" id="{1c40230c-a9da-4114-96c5-fb4bdec3ccc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63" dT="2025-12-20T02:34:32.00" personId="{1c40230c-a9da-4114-96c5-fb4bdec3ccc7}" id="{214c62b6-7bc4-4746-ada7-f662a2497448}" done="0">
    <x18tc:text xml:space="preserve">BPP perkreditan 2014 hal 11</x18tc:text>
  </x18tc:threadedComment>
  <x18tc:threadedComment ref="D53" dT="2025-12-20T02:34:32.00" personId="{1c40230c-a9da-4114-96c5-fb4bdec3ccc7}" id="{bdb13f12-7449-4277-86d2-f5f0c2ee0470}" done="0">
    <x18tc:text xml:space="preserve">BPP perkreditan 2014 hal 11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51.0"/>
    <col customWidth="1" min="3" max="3" width="22.14"/>
    <col customWidth="1" min="4" max="4" width="64.86"/>
    <col customWidth="1" min="5" max="5" width="18.86"/>
    <col customWidth="1" min="6" max="6" width="18.43"/>
    <col customWidth="1" min="7" max="7" width="19.14"/>
    <col customWidth="1" min="8" max="26" width="9.14"/>
  </cols>
  <sheetData>
    <row r="1" ht="13.5" customHeight="1">
      <c r="A1" s="1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3.5" customHeight="1">
      <c r="A3" s="2"/>
      <c r="B3" s="3"/>
      <c r="C3" s="3"/>
      <c r="D3" s="3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3.5" customHeight="1">
      <c r="A4" s="4" t="s">
        <v>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3.5" customHeight="1">
      <c r="A5" s="5"/>
      <c r="B5" s="4"/>
      <c r="C5" s="4"/>
      <c r="D5" s="4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3.5" customHeight="1">
      <c r="A6" s="2"/>
      <c r="B6" s="6" t="s">
        <v>2</v>
      </c>
      <c r="C6" s="7" t="s">
        <v>3</v>
      </c>
      <c r="D6" s="8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3.5" customHeight="1">
      <c r="A7" s="2"/>
      <c r="B7" s="9"/>
      <c r="C7" s="10"/>
      <c r="D7" s="8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3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3.5" customHeight="1">
      <c r="A9" s="2"/>
      <c r="B9" s="11" t="s">
        <v>4</v>
      </c>
      <c r="C9" s="11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3.5" customHeight="1">
      <c r="A10" s="2"/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3.5" customHeight="1">
      <c r="A11" s="2"/>
      <c r="B11" s="12" t="s">
        <v>5</v>
      </c>
      <c r="C11" s="13"/>
      <c r="D11" s="8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3.5" customHeight="1">
      <c r="A12" s="2"/>
      <c r="B12" s="12" t="s">
        <v>6</v>
      </c>
      <c r="C12" s="13"/>
      <c r="D12" s="8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3.5" customHeight="1">
      <c r="A13" s="14"/>
      <c r="B13" s="15" t="s">
        <v>7</v>
      </c>
      <c r="C13" s="16"/>
      <c r="D13" s="8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13.5" customHeight="1">
      <c r="A14" s="2"/>
      <c r="B14" s="12" t="s">
        <v>8</v>
      </c>
      <c r="C14" s="17"/>
      <c r="D14" s="8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3.5" customHeight="1">
      <c r="A15" s="14"/>
      <c r="B15" s="18" t="s">
        <v>9</v>
      </c>
      <c r="C15" s="19"/>
      <c r="D15" s="20"/>
      <c r="E15" s="21"/>
      <c r="F15" s="21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ht="13.5" customHeight="1">
      <c r="A16" s="2"/>
      <c r="B16" s="12" t="s">
        <v>10</v>
      </c>
      <c r="C16" s="13"/>
      <c r="D16" s="8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3.5" customHeight="1">
      <c r="A17" s="2"/>
      <c r="B17" s="12" t="s">
        <v>11</v>
      </c>
      <c r="C17" s="13"/>
      <c r="D17" s="8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3.5" customHeight="1">
      <c r="A18" s="14"/>
      <c r="B18" s="15" t="s">
        <v>12</v>
      </c>
      <c r="C18" s="22"/>
      <c r="D18" s="8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ht="13.5" customHeight="1">
      <c r="A19" s="14"/>
      <c r="B19" s="18" t="s">
        <v>13</v>
      </c>
      <c r="C19" s="19"/>
      <c r="D19" s="23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3.5" customHeight="1">
      <c r="A20" s="2"/>
      <c r="B20" s="24" t="s">
        <v>14</v>
      </c>
      <c r="C20" s="25"/>
      <c r="D20" s="26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31.5" customHeight="1">
      <c r="A21" s="14"/>
      <c r="B21" s="15" t="s">
        <v>15</v>
      </c>
      <c r="C21" s="16"/>
      <c r="D21" s="8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3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3.5" customHeight="1">
      <c r="A23" s="2"/>
      <c r="B23" s="11" t="s">
        <v>16</v>
      </c>
      <c r="C23" s="1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3.5" customHeight="1">
      <c r="A24" s="2"/>
      <c r="B24" s="27" t="s">
        <v>17</v>
      </c>
      <c r="C24" s="27" t="s">
        <v>18</v>
      </c>
      <c r="D24" s="27" t="s">
        <v>19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3.5" customHeight="1">
      <c r="A25" s="14"/>
      <c r="B25" s="15" t="s">
        <v>20</v>
      </c>
      <c r="C25" s="28"/>
      <c r="D25" s="29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3.5" customHeight="1">
      <c r="A26" s="14"/>
      <c r="B26" s="15" t="s">
        <v>21</v>
      </c>
      <c r="C26" s="28"/>
      <c r="D26" s="29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3.5" customHeight="1">
      <c r="A27" s="14"/>
      <c r="B27" s="18" t="s">
        <v>22</v>
      </c>
      <c r="C27" s="30"/>
      <c r="D27" s="29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3.5" customHeight="1">
      <c r="A28" s="14"/>
      <c r="B28" s="15" t="s">
        <v>23</v>
      </c>
      <c r="C28" s="28"/>
      <c r="D28" s="29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3.5" customHeight="1">
      <c r="A29" s="14"/>
      <c r="B29" s="31" t="s">
        <v>24</v>
      </c>
      <c r="C29" s="30"/>
      <c r="D29" s="29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3.5" customHeight="1">
      <c r="A30" s="14"/>
      <c r="B30" s="32" t="s">
        <v>25</v>
      </c>
      <c r="C30" s="28"/>
      <c r="D30" s="33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3.5" customHeight="1">
      <c r="A31" s="14"/>
      <c r="B31" s="32" t="s">
        <v>26</v>
      </c>
      <c r="C31" s="28"/>
      <c r="D31" s="29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3.5" customHeight="1">
      <c r="A32" s="14"/>
      <c r="B32" s="32" t="s">
        <v>27</v>
      </c>
      <c r="C32" s="28"/>
      <c r="D32" s="29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3.5" customHeight="1">
      <c r="A33" s="14"/>
      <c r="B33" s="31" t="s">
        <v>28</v>
      </c>
      <c r="C33" s="34"/>
      <c r="D33" s="35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3.5" customHeight="1">
      <c r="A34" s="14"/>
      <c r="B34" s="36" t="s">
        <v>29</v>
      </c>
      <c r="C34" s="37"/>
      <c r="D34" s="38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3.5" customHeight="1">
      <c r="A35" s="14"/>
      <c r="B35" s="39"/>
      <c r="C35" s="40"/>
      <c r="D35" s="39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3.5" customHeight="1">
      <c r="A36" s="2"/>
      <c r="B36" s="11" t="s">
        <v>30</v>
      </c>
      <c r="C36" s="11"/>
      <c r="D36" s="21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3.5" customHeight="1">
      <c r="A37" s="2"/>
      <c r="B37" s="27" t="s">
        <v>17</v>
      </c>
      <c r="C37" s="27" t="s">
        <v>18</v>
      </c>
      <c r="D37" s="41" t="s">
        <v>19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3.5" customHeight="1">
      <c r="A38" s="2"/>
      <c r="B38" s="15" t="s">
        <v>31</v>
      </c>
      <c r="C38" s="42"/>
      <c r="D38" s="43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3.5" customHeight="1">
      <c r="A39" s="2"/>
      <c r="B39" s="15" t="s">
        <v>32</v>
      </c>
      <c r="C39" s="42"/>
      <c r="D39" s="43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3.5" customHeight="1">
      <c r="A40" s="2"/>
      <c r="B40" s="15" t="s">
        <v>33</v>
      </c>
      <c r="C40" s="42"/>
      <c r="D40" s="43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3.5" customHeight="1">
      <c r="A41" s="2"/>
      <c r="B41" s="15" t="s">
        <v>34</v>
      </c>
      <c r="C41" s="42"/>
      <c r="D41" s="43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3.5" customHeight="1">
      <c r="A42" s="2"/>
      <c r="B42" s="32" t="s">
        <v>35</v>
      </c>
      <c r="C42" s="42"/>
      <c r="D42" s="43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3.5" customHeight="1">
      <c r="A43" s="2"/>
      <c r="B43" s="32" t="s">
        <v>36</v>
      </c>
      <c r="C43" s="42"/>
      <c r="D43" s="38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3.5" customHeight="1">
      <c r="A44" s="2"/>
      <c r="B44" s="32" t="s">
        <v>37</v>
      </c>
      <c r="C44" s="42"/>
      <c r="D44" s="38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3.5" customHeight="1">
      <c r="A45" s="2"/>
      <c r="B45" s="31" t="s">
        <v>38</v>
      </c>
      <c r="C45" s="44"/>
      <c r="D45" s="45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3.5" customHeight="1">
      <c r="A46" s="2"/>
      <c r="B46" s="46"/>
      <c r="C46" s="37"/>
      <c r="D46" s="38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3.5" customHeight="1">
      <c r="A47" s="2"/>
      <c r="B47" s="39"/>
      <c r="C47" s="47"/>
      <c r="D47" s="21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3.5" customHeight="1">
      <c r="A48" s="2"/>
      <c r="B48" s="11" t="s">
        <v>39</v>
      </c>
      <c r="C48" s="11"/>
      <c r="D48" s="21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3.5" customHeight="1">
      <c r="A49" s="2"/>
      <c r="B49" s="27" t="s">
        <v>17</v>
      </c>
      <c r="C49" s="27" t="s">
        <v>18</v>
      </c>
      <c r="D49" s="41" t="s">
        <v>19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3.5" customHeight="1">
      <c r="A50" s="2"/>
      <c r="B50" s="15" t="s">
        <v>40</v>
      </c>
      <c r="C50" s="42"/>
      <c r="D50" s="43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3.5" customHeight="1">
      <c r="A51" s="2"/>
      <c r="B51" s="15" t="s">
        <v>41</v>
      </c>
      <c r="C51" s="42"/>
      <c r="D51" s="43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3.5" customHeight="1">
      <c r="A52" s="2"/>
      <c r="B52" s="15" t="s">
        <v>42</v>
      </c>
      <c r="C52" s="42"/>
      <c r="D52" s="43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3.5" customHeight="1">
      <c r="A53" s="2"/>
      <c r="B53" s="15" t="s">
        <v>43</v>
      </c>
      <c r="C53" s="42"/>
      <c r="D53" s="43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3.5" customHeight="1">
      <c r="A54" s="2"/>
      <c r="B54" s="32" t="s">
        <v>44</v>
      </c>
      <c r="C54" s="42"/>
      <c r="D54" s="3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3.5" customHeight="1">
      <c r="A55" s="14"/>
      <c r="B55" s="32" t="s">
        <v>45</v>
      </c>
      <c r="C55" s="42"/>
      <c r="D55" s="32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3.5" customHeight="1">
      <c r="A56" s="2"/>
      <c r="B56" s="32" t="s">
        <v>46</v>
      </c>
      <c r="C56" s="42"/>
      <c r="D56" s="43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3.5" customHeight="1">
      <c r="A57" s="2"/>
      <c r="B57" s="2"/>
      <c r="C57" s="2"/>
      <c r="D57" s="21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3.5" customHeight="1">
      <c r="A58" s="2"/>
      <c r="B58" s="11" t="s">
        <v>47</v>
      </c>
      <c r="C58" s="11"/>
      <c r="D58" s="21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3.5" customHeight="1">
      <c r="A59" s="2"/>
      <c r="B59" s="27" t="s">
        <v>17</v>
      </c>
      <c r="C59" s="27" t="s">
        <v>18</v>
      </c>
      <c r="D59" s="41" t="s">
        <v>19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3.5" customHeight="1">
      <c r="A60" s="2"/>
      <c r="B60" s="18" t="s">
        <v>48</v>
      </c>
      <c r="C60" s="48"/>
      <c r="D60" s="31"/>
      <c r="E60" s="49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3.5" customHeight="1">
      <c r="A61" s="2"/>
      <c r="B61" s="15" t="s">
        <v>49</v>
      </c>
      <c r="C61" s="42"/>
      <c r="D61" s="43"/>
      <c r="E61" s="49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3.5" customHeight="1">
      <c r="A62" s="2"/>
      <c r="B62" s="15" t="s">
        <v>50</v>
      </c>
      <c r="C62" s="42"/>
      <c r="D62" s="43"/>
      <c r="E62" s="50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3.5" customHeight="1">
      <c r="A63" s="2"/>
      <c r="B63" s="15" t="s">
        <v>51</v>
      </c>
      <c r="C63" s="42"/>
      <c r="D63" s="43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3.5" customHeight="1">
      <c r="A64" s="2"/>
      <c r="B64" s="32" t="s">
        <v>52</v>
      </c>
      <c r="C64" s="42"/>
      <c r="D64" s="43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3.5" customHeight="1">
      <c r="A65" s="2"/>
      <c r="B65" s="32" t="s">
        <v>53</v>
      </c>
      <c r="C65" s="42"/>
      <c r="D65" s="43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3.5" customHeight="1">
      <c r="A66" s="2"/>
      <c r="B66" s="15" t="s">
        <v>54</v>
      </c>
      <c r="C66" s="42"/>
      <c r="D66" s="43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3.5" customHeight="1">
      <c r="A67" s="2"/>
      <c r="B67" s="15" t="s">
        <v>55</v>
      </c>
      <c r="C67" s="9"/>
      <c r="D67" s="32"/>
      <c r="E67" s="49"/>
      <c r="F67" s="2"/>
      <c r="G67" s="49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3.5" customHeight="1">
      <c r="A68" s="2"/>
      <c r="B68" s="15" t="s">
        <v>56</v>
      </c>
      <c r="C68" s="9"/>
      <c r="D68" s="32"/>
      <c r="E68" s="51"/>
      <c r="F68" s="2"/>
      <c r="G68" s="51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3.5" customHeight="1">
      <c r="A69" s="2"/>
      <c r="B69" s="31" t="s">
        <v>38</v>
      </c>
      <c r="C69" s="52"/>
      <c r="D69" s="31"/>
      <c r="E69" s="51"/>
      <c r="F69" s="2"/>
      <c r="G69" s="49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3.5" customHeight="1">
      <c r="A70" s="2"/>
      <c r="B70" s="46"/>
      <c r="C70" s="53"/>
      <c r="D70" s="46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3.5" customHeight="1">
      <c r="A71" s="2"/>
      <c r="B71" s="39"/>
      <c r="C71" s="54"/>
      <c r="D71" s="39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3.5" customHeight="1">
      <c r="A72" s="2"/>
      <c r="B72" s="11" t="s">
        <v>57</v>
      </c>
      <c r="C72" s="11"/>
      <c r="D72" s="21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3.5" customHeight="1">
      <c r="A73" s="2"/>
      <c r="B73" s="27" t="s">
        <v>17</v>
      </c>
      <c r="C73" s="27" t="s">
        <v>18</v>
      </c>
      <c r="D73" s="41" t="s">
        <v>19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3.5" customHeight="1">
      <c r="A74" s="2"/>
      <c r="B74" s="15" t="s">
        <v>58</v>
      </c>
      <c r="C74" s="55"/>
      <c r="D74" s="43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3.5" customHeight="1">
      <c r="A75" s="2"/>
      <c r="B75" s="15" t="s">
        <v>59</v>
      </c>
      <c r="C75" s="55"/>
      <c r="D75" s="43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3.5" customHeight="1">
      <c r="A76" s="2"/>
      <c r="B76" s="15" t="s">
        <v>60</v>
      </c>
      <c r="C76" s="55"/>
      <c r="D76" s="43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3.5" customHeight="1">
      <c r="A77" s="2"/>
      <c r="B77" s="15" t="s">
        <v>61</v>
      </c>
      <c r="C77" s="55"/>
      <c r="D77" s="43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3.5" customHeight="1">
      <c r="A78" s="2"/>
      <c r="B78" s="32" t="s">
        <v>62</v>
      </c>
      <c r="C78" s="42"/>
      <c r="D78" s="3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3.5" customHeight="1">
      <c r="A79" s="2"/>
      <c r="B79" s="32" t="s">
        <v>63</v>
      </c>
      <c r="C79" s="42"/>
      <c r="D79" s="43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3.5" customHeight="1">
      <c r="A80" s="14"/>
      <c r="B80" s="15" t="s">
        <v>64</v>
      </c>
      <c r="C80" s="56"/>
      <c r="D80" s="43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3.5" customHeight="1">
      <c r="A81" s="2"/>
      <c r="B81" s="15" t="s">
        <v>65</v>
      </c>
      <c r="C81" s="42"/>
      <c r="D81" s="43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3.5" customHeight="1">
      <c r="A82" s="2"/>
      <c r="B82" s="32" t="s">
        <v>28</v>
      </c>
      <c r="C82" s="42"/>
      <c r="D82" s="32"/>
      <c r="E82" s="2"/>
      <c r="F82" s="5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3.5" customHeight="1">
      <c r="A83" s="2"/>
      <c r="B83" s="32"/>
      <c r="C83" s="55"/>
      <c r="D83" s="43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3.5" customHeight="1">
      <c r="A84" s="2"/>
      <c r="B84" s="39"/>
      <c r="C84" s="54"/>
      <c r="D84" s="21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3.5" customHeight="1">
      <c r="A85" s="2" t="s">
        <v>66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3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3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3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3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3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14" t="s">
        <v>67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3.5" customHeight="1">
      <c r="A92" s="2"/>
      <c r="B92" s="57" t="s">
        <v>68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3.5" customHeight="1">
      <c r="A93" s="2"/>
      <c r="B93" s="57" t="s">
        <v>69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36.0" customHeight="1">
      <c r="A94" s="2"/>
      <c r="B94" s="57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3.5" customHeight="1">
      <c r="A95" s="2"/>
      <c r="B95" s="57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3.5" customHeight="1">
      <c r="A96" s="2"/>
      <c r="B96" s="58" t="s">
        <v>70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3.5" customHeight="1">
      <c r="A97" s="2"/>
      <c r="B97" s="57" t="s">
        <v>71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3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3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3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3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3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3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3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3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3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3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3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3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3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3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3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3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3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3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3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3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3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3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3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3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3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3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3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3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3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3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3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3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3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3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3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3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3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3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3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3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3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3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3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3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3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3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3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3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3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3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3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3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3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3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3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3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3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3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3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3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3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3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3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3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3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3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3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3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3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3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3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3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3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3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3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3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3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3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3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3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3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3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3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3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3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3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3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3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3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3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3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3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3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3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3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3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3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3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3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3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3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3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3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3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3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3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3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3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3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3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3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3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3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3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3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3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3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3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3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3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3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3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3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3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3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3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3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3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3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3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3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3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3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3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3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3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3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3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3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3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3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3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3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3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3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3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3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3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3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3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3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3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3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3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3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3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3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3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3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3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3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3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3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3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3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3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3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3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3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3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3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3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3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3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3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3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3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3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3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3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3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3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3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3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3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3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3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3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3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3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3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3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3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3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3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3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3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3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3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3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3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3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3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3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3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3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3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3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3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3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3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3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3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3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3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3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3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3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3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3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3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3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3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3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3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3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3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3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3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3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3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3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3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3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3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3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3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3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3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3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3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3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3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3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3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3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3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3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3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3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3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3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3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3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3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3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3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3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3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3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3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3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3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3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3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3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3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3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3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3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3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3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3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3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3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3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3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3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3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3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3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3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3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3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3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3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3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3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3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3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3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3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3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3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3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3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3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3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3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3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3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3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3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3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3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3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3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3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3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3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3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3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3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3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3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3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3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3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3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3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3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3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3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3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3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3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3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3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3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3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3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3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3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3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3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3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3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3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3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3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3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3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3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3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3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3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3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3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3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3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3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3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3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3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3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3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3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3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3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3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3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3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3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3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3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3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3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3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3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3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3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3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3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3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3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3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3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3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3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3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3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3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3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3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3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3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3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3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3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3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3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3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3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3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3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3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3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3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3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3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3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3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3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3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3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3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3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3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3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3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3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3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3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3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3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3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3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3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3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3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3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3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3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3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3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3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3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3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3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3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3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3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3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3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3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3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3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3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3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3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3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3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3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3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3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3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3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3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3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3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3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3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3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3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3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3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3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3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3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3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3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3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3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3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3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3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3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3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3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3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3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3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3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3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3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3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3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3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3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3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3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3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3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3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3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3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3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3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3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3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3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3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3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3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3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3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3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3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3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3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3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3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3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3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3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3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3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3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3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3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3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3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3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3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3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3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3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3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3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3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3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3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3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3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3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3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3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3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3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3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3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3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3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3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3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3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3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3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3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3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3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3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3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3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3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3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3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3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3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3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3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3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3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3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3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3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3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3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3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3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3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3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3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3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3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3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3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3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3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3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3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3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3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3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3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3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3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3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3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3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3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3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3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3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3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3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3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3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3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3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3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3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3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3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3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3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3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3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3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3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3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3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3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3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3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3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3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3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3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3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3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3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3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3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3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3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3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3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3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3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3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3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3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3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3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3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3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3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3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3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3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3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3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3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3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3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3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3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3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3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3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3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3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3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3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3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3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3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3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3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3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3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3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3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3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3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3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3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3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3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3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3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3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3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3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3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3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3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3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3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3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3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3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3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3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3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3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3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3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3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3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3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3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3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3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3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3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3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3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3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3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3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3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3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3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3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3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3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3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3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3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3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3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3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3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3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3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3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3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3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3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3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3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3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3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3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3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3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3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3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3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3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3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3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3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3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3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3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3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3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3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3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3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3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3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3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3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3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3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3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3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3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3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3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3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3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3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3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3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3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3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3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3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3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3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3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3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3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3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3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3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3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3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3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3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3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3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3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3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3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3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3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3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3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3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3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3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3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3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3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3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3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3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3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3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3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3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3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3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3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3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3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3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3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3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3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3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3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3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3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3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3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3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3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3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3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3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3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3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3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3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3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3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3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3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3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3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3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3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3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3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3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3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3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3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3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3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3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3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3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3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3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3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3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3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3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3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3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3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3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3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3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3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3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3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3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3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3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3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3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3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3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3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3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3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3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3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3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3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3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3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3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3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3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3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3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3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3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3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3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3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3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3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3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3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3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3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3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3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3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3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3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3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3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3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3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3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3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3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3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3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3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3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3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3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3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3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3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3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3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3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3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3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3">
    <mergeCell ref="C14:D14"/>
    <mergeCell ref="C15:D15"/>
    <mergeCell ref="C16:D16"/>
    <mergeCell ref="C17:D17"/>
    <mergeCell ref="C18:D18"/>
    <mergeCell ref="C21:D21"/>
    <mergeCell ref="A1:D2"/>
    <mergeCell ref="A4:D4"/>
    <mergeCell ref="C6:D6"/>
    <mergeCell ref="C7:D7"/>
    <mergeCell ref="C11:D11"/>
    <mergeCell ref="C12:D12"/>
    <mergeCell ref="C13:D13"/>
  </mergeCells>
  <printOptions/>
  <pageMargins bottom="0.75" footer="0.0" header="0.0" left="0.7" right="0.7" top="0.75"/>
  <pageSetup paperSize="9" scale="69"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10.14"/>
    <col customWidth="1" min="3" max="3" width="9.71"/>
    <col customWidth="1" min="4" max="4" width="14.57"/>
    <col customWidth="1" min="5" max="26" width="8.71"/>
  </cols>
  <sheetData>
    <row r="1" ht="14.25" customHeight="1">
      <c r="A1" s="59" t="s">
        <v>72</v>
      </c>
      <c r="B1" s="59" t="s">
        <v>73</v>
      </c>
      <c r="C1" s="59" t="s">
        <v>74</v>
      </c>
      <c r="D1" s="59" t="s">
        <v>75</v>
      </c>
    </row>
    <row r="2" ht="14.25" customHeight="1">
      <c r="A2" s="60" t="s">
        <v>76</v>
      </c>
      <c r="B2" s="60" t="s">
        <v>77</v>
      </c>
      <c r="C2" s="60">
        <v>1.0</v>
      </c>
      <c r="D2" s="60"/>
    </row>
    <row r="3" ht="14.25" customHeight="1">
      <c r="A3" s="60"/>
      <c r="B3" s="60" t="s">
        <v>77</v>
      </c>
      <c r="C3" s="60">
        <v>1.0</v>
      </c>
      <c r="D3" s="60"/>
    </row>
    <row r="4" ht="14.25" customHeight="1">
      <c r="A4" s="60"/>
      <c r="B4" s="60" t="s">
        <v>77</v>
      </c>
      <c r="C4" s="60"/>
      <c r="D4" s="60">
        <v>1.0</v>
      </c>
    </row>
    <row r="5" ht="14.25" customHeight="1">
      <c r="A5" s="60"/>
      <c r="B5" s="60" t="s">
        <v>77</v>
      </c>
      <c r="C5" s="60">
        <v>1.0</v>
      </c>
      <c r="D5" s="60"/>
    </row>
    <row r="6" ht="14.25" customHeight="1">
      <c r="A6" s="60"/>
      <c r="B6" s="60" t="s">
        <v>78</v>
      </c>
      <c r="C6" s="60">
        <f t="shared" ref="C6:D6" si="1">SUM(C2:C5)</f>
        <v>3</v>
      </c>
      <c r="D6" s="60">
        <f t="shared" si="1"/>
        <v>1</v>
      </c>
    </row>
    <row r="7" ht="14.25" customHeight="1">
      <c r="A7" s="60"/>
      <c r="B7" s="60"/>
      <c r="C7" s="61">
        <f>C6/(C6+D6)</f>
        <v>0.75</v>
      </c>
      <c r="D7" s="61">
        <f>D6/(C6+D6)</f>
        <v>0.25</v>
      </c>
    </row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>
      <c r="K25" s="2" t="s">
        <v>79</v>
      </c>
      <c r="L25" s="2" t="s">
        <v>80</v>
      </c>
    </row>
    <row r="26" ht="14.25" customHeight="1">
      <c r="K26" s="2" t="s">
        <v>29</v>
      </c>
      <c r="L26" s="2" t="s">
        <v>29</v>
      </c>
    </row>
    <row r="27" ht="14.25" customHeight="1">
      <c r="K27" s="14" t="s">
        <v>79</v>
      </c>
      <c r="L27" s="14" t="s">
        <v>80</v>
      </c>
    </row>
    <row r="28" ht="14.25" customHeight="1">
      <c r="K28" s="2" t="s">
        <v>29</v>
      </c>
      <c r="L28" s="2"/>
    </row>
    <row r="29" ht="14.25" customHeight="1">
      <c r="K29" s="21" t="s">
        <v>79</v>
      </c>
      <c r="L29" s="21" t="s">
        <v>80</v>
      </c>
    </row>
    <row r="30" ht="14.25" customHeight="1">
      <c r="K30" s="2" t="s">
        <v>29</v>
      </c>
      <c r="L30" s="2" t="s">
        <v>29</v>
      </c>
    </row>
    <row r="31" ht="14.25" customHeight="1">
      <c r="K31" s="2" t="s">
        <v>29</v>
      </c>
      <c r="L31" s="2" t="s">
        <v>29</v>
      </c>
    </row>
    <row r="32" ht="14.25" customHeight="1">
      <c r="K32" s="14" t="s">
        <v>79</v>
      </c>
      <c r="L32" s="14" t="s">
        <v>80</v>
      </c>
    </row>
    <row r="33" ht="14.25" customHeight="1">
      <c r="K33" s="14" t="s">
        <v>79</v>
      </c>
      <c r="L33" s="14" t="s">
        <v>80</v>
      </c>
    </row>
    <row r="34" ht="14.25" customHeight="1">
      <c r="K34" s="2" t="s">
        <v>79</v>
      </c>
      <c r="L34" s="2" t="s">
        <v>80</v>
      </c>
    </row>
    <row r="35" ht="14.25" customHeight="1">
      <c r="K35" s="14" t="s">
        <v>79</v>
      </c>
      <c r="L35" s="14" t="s">
        <v>80</v>
      </c>
    </row>
    <row r="36" ht="14.25" customHeight="1">
      <c r="K36" s="2"/>
      <c r="L36" s="2"/>
    </row>
    <row r="37" ht="14.25" customHeight="1">
      <c r="K37" s="2"/>
      <c r="L37" s="2"/>
    </row>
    <row r="38" ht="14.25" customHeight="1">
      <c r="K38" s="2"/>
      <c r="L38" s="2"/>
    </row>
    <row r="39" ht="14.25" customHeight="1">
      <c r="K39" s="14" t="s">
        <v>79</v>
      </c>
      <c r="L39" s="14" t="s">
        <v>81</v>
      </c>
    </row>
    <row r="40" ht="14.25" customHeight="1">
      <c r="K40" s="14" t="s">
        <v>29</v>
      </c>
      <c r="L40" s="14" t="s">
        <v>29</v>
      </c>
    </row>
    <row r="41" ht="14.25" customHeight="1">
      <c r="K41" s="14" t="s">
        <v>79</v>
      </c>
      <c r="L41" s="14" t="s">
        <v>82</v>
      </c>
    </row>
    <row r="42" ht="14.25" customHeight="1">
      <c r="K42" s="14" t="s">
        <v>79</v>
      </c>
      <c r="L42" s="14" t="s">
        <v>23</v>
      </c>
    </row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42.0"/>
    <col customWidth="1" min="3" max="3" width="19.43"/>
    <col customWidth="1" min="4" max="4" width="8.71"/>
    <col customWidth="1" min="5" max="5" width="18.43"/>
    <col customWidth="1" min="6" max="6" width="23.86"/>
    <col customWidth="1" min="7" max="7" width="14.57"/>
    <col customWidth="1" min="8" max="26" width="8.71"/>
  </cols>
  <sheetData>
    <row r="1" ht="14.25" customHeight="1">
      <c r="A1" s="62" t="s">
        <v>83</v>
      </c>
    </row>
    <row r="2" ht="14.25" customHeight="1"/>
    <row r="3" ht="14.25" customHeight="1">
      <c r="A3" s="60" t="s">
        <v>84</v>
      </c>
      <c r="B3" s="60" t="s">
        <v>45</v>
      </c>
      <c r="C3" s="63" t="s">
        <v>85</v>
      </c>
      <c r="D3" s="63" t="s">
        <v>86</v>
      </c>
      <c r="E3" s="63" t="s">
        <v>87</v>
      </c>
    </row>
    <row r="4" ht="14.25" customHeight="1">
      <c r="A4" s="64" t="s">
        <v>88</v>
      </c>
      <c r="B4" s="65" t="s">
        <v>89</v>
      </c>
      <c r="C4" s="65"/>
      <c r="D4" s="65"/>
      <c r="E4" s="65"/>
    </row>
    <row r="5" ht="14.25" customHeight="1">
      <c r="A5" s="66"/>
      <c r="B5" s="67" t="str">
        <f>Sheet1!D60</f>
        <v/>
      </c>
      <c r="C5" s="68">
        <f>1500000*200</f>
        <v>300000000</v>
      </c>
      <c r="D5" s="69">
        <v>0.75</v>
      </c>
      <c r="E5" s="68">
        <f t="shared" ref="E5:E8" si="1">C5*D5</f>
        <v>225000000</v>
      </c>
      <c r="F5" s="70">
        <f>250*2000000</f>
        <v>500000000</v>
      </c>
      <c r="G5" s="70">
        <f>770000000*40%</f>
        <v>308000000</v>
      </c>
    </row>
    <row r="6" ht="14.25" customHeight="1">
      <c r="A6" s="66"/>
      <c r="B6" s="67" t="s">
        <v>90</v>
      </c>
      <c r="C6" s="68">
        <v>4.65E8</v>
      </c>
      <c r="D6" s="69">
        <v>0.4</v>
      </c>
      <c r="E6" s="68">
        <f t="shared" si="1"/>
        <v>186000000</v>
      </c>
      <c r="F6" s="70"/>
    </row>
    <row r="7" ht="14.25" customHeight="1">
      <c r="A7" s="66"/>
      <c r="B7" s="67" t="s">
        <v>91</v>
      </c>
      <c r="C7" s="68">
        <f>300000000*70%</f>
        <v>210000000</v>
      </c>
      <c r="D7" s="69">
        <v>1.0</v>
      </c>
      <c r="E7" s="68">
        <f t="shared" si="1"/>
        <v>210000000</v>
      </c>
      <c r="F7" s="70"/>
    </row>
    <row r="8" ht="14.25" customHeight="1">
      <c r="A8" s="66"/>
      <c r="B8" s="67" t="s">
        <v>92</v>
      </c>
      <c r="C8" s="68"/>
      <c r="D8" s="69">
        <v>1.0</v>
      </c>
      <c r="E8" s="68">
        <f t="shared" si="1"/>
        <v>0</v>
      </c>
      <c r="F8" s="71">
        <f>F7/500000000</f>
        <v>0</v>
      </c>
      <c r="G8" s="62">
        <f>375000000+350000000+308000000</f>
        <v>1033000000</v>
      </c>
    </row>
    <row r="9" ht="14.25" customHeight="1">
      <c r="A9" s="66"/>
      <c r="B9" s="60" t="s">
        <v>93</v>
      </c>
      <c r="C9" s="72" t="str">
        <f>(C5+C7+C8+C6)/Sheet1!D20</f>
        <v>#DIV/0!</v>
      </c>
      <c r="D9" s="72"/>
      <c r="E9" s="72" t="str">
        <f>(E5+E6+E7)/Sheet1!D20</f>
        <v>#DIV/0!</v>
      </c>
      <c r="G9" s="71">
        <f>G8/500000000</f>
        <v>2.066</v>
      </c>
    </row>
    <row r="10" ht="14.25" hidden="1" customHeight="1">
      <c r="A10" s="66"/>
      <c r="B10" s="60" t="s">
        <v>94</v>
      </c>
      <c r="C10" s="72"/>
      <c r="D10" s="72"/>
      <c r="E10" s="72"/>
    </row>
    <row r="11" ht="14.25" customHeight="1">
      <c r="A11" s="73"/>
      <c r="B11" s="60"/>
      <c r="C11" s="60"/>
      <c r="D11" s="60"/>
      <c r="E11" s="60"/>
    </row>
    <row r="12" ht="14.25" customHeight="1">
      <c r="A12" s="64" t="s">
        <v>95</v>
      </c>
      <c r="B12" s="65" t="s">
        <v>96</v>
      </c>
      <c r="C12" s="65"/>
      <c r="D12" s="65"/>
      <c r="E12" s="65"/>
    </row>
    <row r="13" ht="14.25" customHeight="1">
      <c r="A13" s="66"/>
      <c r="B13" s="60" t="s">
        <v>97</v>
      </c>
      <c r="C13" s="74">
        <v>0.0</v>
      </c>
      <c r="D13" s="61">
        <v>0.5</v>
      </c>
      <c r="E13" s="74">
        <f>C13*D13</f>
        <v>0</v>
      </c>
    </row>
    <row r="14" ht="14.25" customHeight="1">
      <c r="A14" s="66"/>
      <c r="B14" s="60" t="s">
        <v>93</v>
      </c>
      <c r="C14" s="72" t="str">
        <f>C13/[1]Sheet1!$D$18</f>
        <v>#ERROR!</v>
      </c>
      <c r="D14" s="72"/>
      <c r="E14" s="72" t="str">
        <f>E13/[1]Sheet1!$D$18</f>
        <v>#ERROR!</v>
      </c>
    </row>
    <row r="15" ht="14.25" customHeight="1">
      <c r="A15" s="66"/>
      <c r="B15" s="60" t="s">
        <v>94</v>
      </c>
      <c r="C15" s="72" t="str">
        <f>C13/[1]Sheet1!$D$18</f>
        <v>#ERROR!</v>
      </c>
      <c r="D15" s="72"/>
      <c r="E15" s="72" t="str">
        <f>E13/[1]Sheet1!$D$18</f>
        <v>#ERROR!</v>
      </c>
    </row>
    <row r="16" ht="14.25" customHeight="1">
      <c r="A16" s="66"/>
      <c r="B16" s="60"/>
      <c r="C16" s="60"/>
      <c r="D16" s="60"/>
      <c r="E16" s="60"/>
    </row>
    <row r="17" ht="14.25" customHeight="1">
      <c r="A17" s="66"/>
      <c r="B17" s="60" t="s">
        <v>98</v>
      </c>
      <c r="C17" s="75">
        <f>C5+C13+C7+C8</f>
        <v>510000000</v>
      </c>
      <c r="D17" s="60"/>
      <c r="E17" s="75">
        <f>E5+E7+E8</f>
        <v>435000000</v>
      </c>
    </row>
    <row r="18" ht="14.25" customHeight="1">
      <c r="A18" s="66"/>
      <c r="B18" s="60" t="s">
        <v>93</v>
      </c>
      <c r="C18" s="72" t="str">
        <f>C17/Sheet1!D19</f>
        <v>#DIV/0!</v>
      </c>
      <c r="D18" s="72"/>
      <c r="E18" s="72" t="str">
        <f>(E5+E7+E8)/Sheet1!D19</f>
        <v>#DIV/0!</v>
      </c>
    </row>
    <row r="19" ht="14.25" customHeight="1">
      <c r="A19" s="73"/>
      <c r="B19" s="60" t="s">
        <v>94</v>
      </c>
      <c r="C19" s="72"/>
      <c r="D19" s="72"/>
      <c r="E19" s="72"/>
    </row>
    <row r="20" ht="14.25" customHeight="1"/>
    <row r="21" ht="14.25" customHeight="1">
      <c r="B21" s="62" t="s">
        <v>99</v>
      </c>
      <c r="C21" s="62" t="s">
        <v>100</v>
      </c>
      <c r="E21" s="62" t="s">
        <v>101</v>
      </c>
    </row>
    <row r="22" ht="14.25" customHeight="1">
      <c r="B22" s="62" t="s">
        <v>102</v>
      </c>
      <c r="C22" s="70">
        <v>625000.0</v>
      </c>
      <c r="E22" s="70">
        <v>375000.0</v>
      </c>
    </row>
    <row r="23" ht="14.25" customHeight="1">
      <c r="B23" s="62" t="s">
        <v>103</v>
      </c>
      <c r="C23" s="62">
        <f>C22/500000</f>
        <v>1.25</v>
      </c>
      <c r="E23" s="71">
        <f>E22/300000</f>
        <v>1.25</v>
      </c>
    </row>
    <row r="24" ht="14.25" customHeight="1">
      <c r="B24" s="62" t="s">
        <v>104</v>
      </c>
      <c r="C24" s="70">
        <v>844104.0</v>
      </c>
      <c r="E24" s="70">
        <v>530963.0</v>
      </c>
      <c r="F24" s="70"/>
    </row>
    <row r="25" ht="14.25" customHeight="1">
      <c r="B25" s="62" t="s">
        <v>103</v>
      </c>
      <c r="C25" s="71">
        <f>C24/500000</f>
        <v>1.688208</v>
      </c>
      <c r="E25" s="71">
        <f>E24/300000</f>
        <v>1.769876667</v>
      </c>
      <c r="F25" s="70"/>
    </row>
    <row r="26" ht="14.25" customHeight="1">
      <c r="B26" s="62" t="s">
        <v>105</v>
      </c>
      <c r="C26" s="62">
        <v>0.0</v>
      </c>
      <c r="E26" s="70">
        <v>623997.0</v>
      </c>
    </row>
    <row r="27" ht="14.25" customHeight="1">
      <c r="B27" s="62" t="s">
        <v>103</v>
      </c>
      <c r="C27" s="62">
        <v>0.0</v>
      </c>
      <c r="E27" s="71">
        <f>E26/300000</f>
        <v>2.07999</v>
      </c>
    </row>
    <row r="28" ht="14.25" customHeight="1">
      <c r="B28" s="62" t="s">
        <v>106</v>
      </c>
      <c r="C28" s="70">
        <f>C24+C27</f>
        <v>844104</v>
      </c>
      <c r="E28" s="70">
        <f>E24+E26</f>
        <v>1154960</v>
      </c>
    </row>
    <row r="29" ht="14.25" customHeight="1">
      <c r="B29" s="62" t="s">
        <v>107</v>
      </c>
      <c r="C29" s="71">
        <f>C28/500000</f>
        <v>1.688208</v>
      </c>
      <c r="D29" s="71"/>
      <c r="E29" s="71">
        <f>E28/300000</f>
        <v>3.849866667</v>
      </c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