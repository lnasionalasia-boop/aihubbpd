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tc={25fd6278-a726-475d-97d5-6e5a239a3ddc}</author>
    <author>tc={487b2f38-bdf2-46b5-a993-f56e5023a85c}</author>
  </authors>
  <commentList>
    <comment authorId="0" xr:uid="{25fd6278-a726-475d-97d5-6e5a239a3ddc}" ref="D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BPP perkreditan 2014 hal 11
</t>
      </text>
    </comment>
    <comment authorId="1" xr:uid="{487b2f38-bdf2-46b5-a993-f56e5023a85c}" ref="D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BPP perkreditan 2014 hal 11
</t>
      </text>
    </comment>
  </commentList>
</comments>
</file>

<file path=xl/sharedStrings.xml><?xml version="1.0" encoding="utf-8"?>
<sst xmlns="http://schemas.openxmlformats.org/spreadsheetml/2006/main" count="132" uniqueCount="108">
  <si>
    <t xml:space="preserve">Lampiran Keputusan Direksi PT Bank Pembangunan Daerah Bali Nomor 0118/KEP/DIR/KPN/2023 Tanggal 16 Maret 2023 tentang Check List Kepatuhan dan Pelaksanaan Uji Kepatuhan Dalam Rangka Monitoring			
			</t>
  </si>
  <si>
    <t>Informasi Pejabat</t>
  </si>
  <si>
    <t>Nama                                                                                    :</t>
  </si>
  <si>
    <t>Jabatan                                                                                  :</t>
  </si>
  <si>
    <t>Unit.                                                                                      :</t>
  </si>
  <si>
    <t xml:space="preserve">CHECK LIST KEPATUHAN SEBELUM PERSETUJUAN KREDIT </t>
  </si>
  <si>
    <t>Cabang / Capem</t>
  </si>
  <si>
    <t>Tgl File Diterima</t>
  </si>
  <si>
    <t>I. Informasi Debitur</t>
  </si>
  <si>
    <t>Nama Pemohon (Debitur / Calon Debitur)</t>
  </si>
  <si>
    <t>Grup Kelompok Usaha</t>
  </si>
  <si>
    <t>Alamat Pemohon</t>
  </si>
  <si>
    <t>Nama Perusahaan/Pemohon (Debitur / Calon Debitur)</t>
  </si>
  <si>
    <t>Alamat Usaha/Perusahaan</t>
  </si>
  <si>
    <t>Nama Pemilik/Pengurus Perusahaan</t>
  </si>
  <si>
    <t>Alamat Pemilik/Pengurus Perusahaan</t>
  </si>
  <si>
    <t>Jenis Usaha</t>
  </si>
  <si>
    <t>Plafond</t>
  </si>
  <si>
    <t>Total fasilitas</t>
  </si>
  <si>
    <t>Tujuan Penggunaan</t>
  </si>
  <si>
    <t>II. Persyaratan Administrasi</t>
  </si>
  <si>
    <t>Pengujian</t>
  </si>
  <si>
    <t>Checklist</t>
  </si>
  <si>
    <t>Keterangan / Catatan</t>
  </si>
  <si>
    <t>KTP Suami/Istri (debitur) yang masih berlaku</t>
  </si>
  <si>
    <t>KTP seluruh pengurus/persero yang masih berlaku</t>
  </si>
  <si>
    <t>KTP pemilik jaminan (suami + istri) yang masih berlaku</t>
  </si>
  <si>
    <t>Kartu Keluarga</t>
  </si>
  <si>
    <t>Informasi Debitur (iDeb) SLIK OJK suami/istri/pengurus/persero</t>
  </si>
  <si>
    <t>Daftar Hitam Nasional (DHN) a.n Seluruh Group / Kelompok Usaha Debitur</t>
  </si>
  <si>
    <t>Appraisal independen</t>
  </si>
  <si>
    <t>Akuntan Publik</t>
  </si>
  <si>
    <t>Lainnya :</t>
  </si>
  <si>
    <t>-</t>
  </si>
  <si>
    <t>III. Legalitas Usaha</t>
  </si>
  <si>
    <t>Akta Pendirian</t>
  </si>
  <si>
    <t>Akta Perubahan (awal s/d akhir)</t>
  </si>
  <si>
    <t>Pengesahan</t>
  </si>
  <si>
    <t>Surat Persetujuan dari Persero/Komisaris</t>
  </si>
  <si>
    <t>NIB yang masih berlaku (menyesuaikan dengan karakteristik usaha)</t>
  </si>
  <si>
    <t>NPWP</t>
  </si>
  <si>
    <t>Surat Keterangan Usaha dari Kepala Desa atau Kelurahan sesuai sektor usaha</t>
  </si>
  <si>
    <t xml:space="preserve">Lainnya </t>
  </si>
  <si>
    <t>IV. Uji Terhadap Prinsip Kehati-hatian</t>
  </si>
  <si>
    <t>Pihak Pemohon adalah Pihak Terkait</t>
  </si>
  <si>
    <t>Pihak Pemohon adalah Bukan Pihak Terkait</t>
  </si>
  <si>
    <t>BMPK</t>
  </si>
  <si>
    <t>Sektor Usaha</t>
  </si>
  <si>
    <t>Tujuan Penggunaan Kredit</t>
  </si>
  <si>
    <t>Agunan</t>
  </si>
  <si>
    <t>Lainnya</t>
  </si>
  <si>
    <t>V. Jaminan</t>
  </si>
  <si>
    <t>SHGB, SHGP, SHM</t>
  </si>
  <si>
    <t>BPKB</t>
  </si>
  <si>
    <t>Surat Perintah Kerja (SPK)</t>
  </si>
  <si>
    <t>Piutang Usaha</t>
  </si>
  <si>
    <t>Jaminan Perorangan (Borgtocht)</t>
  </si>
  <si>
    <t>Deposito</t>
  </si>
  <si>
    <t>Asuransi Penjaminan</t>
  </si>
  <si>
    <t>Persyaratan CEV Controlled</t>
  </si>
  <si>
    <t>Persyaratan Minimum Total CEV</t>
  </si>
  <si>
    <t>VI. Kelengkapan Formulir &amp; Analisa Kredit</t>
  </si>
  <si>
    <t>Pengisian formulir permohonan kredit telah lengkap</t>
  </si>
  <si>
    <t>Laporan Keuangan (Neraca-Laba/Rugi)</t>
  </si>
  <si>
    <t>PBB Tahun Terakhir</t>
  </si>
  <si>
    <t>SPT Tahun Terakhir</t>
  </si>
  <si>
    <t>Perhitungan pemberian kredit telah sesuai dengan metode analisa yang dipergunakan</t>
  </si>
  <si>
    <t>Penggunaan formulir analisa kredit telah sesuai dengan ketentuan</t>
  </si>
  <si>
    <t>Analis telah melakukan On The Spot sesuai ketentuan</t>
  </si>
  <si>
    <t>Analisa rasio keuangan telah sesuai dengan ketentuan</t>
  </si>
  <si>
    <t>Rekomendasi :</t>
  </si>
  <si>
    <t>…............................. , …...................................................</t>
  </si>
  <si>
    <t>Dibuat Oleh</t>
  </si>
  <si>
    <t>Officer Kepatuhan</t>
  </si>
  <si>
    <t>….........................................................................................</t>
  </si>
  <si>
    <t>NRK…......................</t>
  </si>
  <si>
    <t>Unit</t>
  </si>
  <si>
    <t>Ketentuan</t>
  </si>
  <si>
    <t>Terpenuhi</t>
  </si>
  <si>
    <t>Tdk terpenuhi</t>
  </si>
  <si>
    <t>Teller</t>
  </si>
  <si>
    <t>cek…</t>
  </si>
  <si>
    <t>Total</t>
  </si>
  <si>
    <t>PERHITUNGAN AGUNAN</t>
  </si>
  <si>
    <t>No.</t>
  </si>
  <si>
    <t>Taksasi</t>
  </si>
  <si>
    <t>CEF</t>
  </si>
  <si>
    <t>CEV</t>
  </si>
  <si>
    <t>1.</t>
  </si>
  <si>
    <t>Controlled</t>
  </si>
  <si>
    <t>Bangunan</t>
  </si>
  <si>
    <t>Penjaminan suami</t>
  </si>
  <si>
    <t>Penjaminan istri</t>
  </si>
  <si>
    <t>Persentase Thd Plafond</t>
  </si>
  <si>
    <t>Persentase Thd Baki Debet</t>
  </si>
  <si>
    <t>2.</t>
  </si>
  <si>
    <t>Uncontrolled</t>
  </si>
  <si>
    <t>Persediaan</t>
  </si>
  <si>
    <t>Total Controlled + Uncontrolled</t>
  </si>
  <si>
    <t>Persentase masing-masing fasilitas</t>
  </si>
  <si>
    <t>KUR suami</t>
  </si>
  <si>
    <t>KUR ybs</t>
  </si>
  <si>
    <t>HT</t>
  </si>
  <si>
    <t>%tase thp plafond</t>
  </si>
  <si>
    <t>CEV Controlled</t>
  </si>
  <si>
    <t>CEV Uncontrolled</t>
  </si>
  <si>
    <t>Total CEV</t>
  </si>
  <si>
    <t>%tase total CEV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</si>
</sst>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p&quot;* #,##0_-;\-&quot;Rp&quot;* #,##0_-;_-&quot;Rp&quot;* &quot;-&quot;_-;_-@"/>
    <numFmt numFmtId="165" formatCode="0.0%"/>
    <numFmt numFmtId="166" formatCode="_(* #,##0.00_);_(* \(#,##0.00\);_(* &quot;-&quot;??_);_(@_)"/>
    <numFmt numFmtId="167" formatCode="_(* #,##0_);_(* \(#,##0\);_(* &quot;-&quot;_);_(@_)"/>
    <numFmt numFmtId="168" formatCode="_-* #,##0_-;\-* #,##0_-;_-* &quot;-&quot;_-;_-@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b/>
      <sz val="11.0"/>
      <color theme="0"/>
      <name val="Times New Roman"/>
    </font>
    <font/>
    <font>
      <i/>
      <sz val="11.0"/>
      <color theme="1"/>
      <name val="Times New Roman"/>
    </font>
    <font>
      <i/>
      <sz val="11.0"/>
      <color rgb="FFFF0000"/>
      <name val="Times New Roman"/>
    </font>
    <font>
      <u/>
      <sz val="11.0"/>
      <color theme="1"/>
      <name val="Times New Roman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0CECE"/>
        <bgColor rgb="FFD0CECE"/>
      </patternFill>
    </fill>
    <fill>
      <patternFill patternType="solid">
        <fgColor rgb="FFAEABAB"/>
        <bgColor rgb="FFAEABA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0" fillId="0" fontId="1" numFmtId="0" xfId="0" applyAlignment="1" applyFont="1">
      <alignment vertical="center"/>
    </xf>
    <xf borderId="0" fillId="0" fontId="1" numFmtId="0" xfId="0" applyFont="1"/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left" readingOrder="0"/>
    </xf>
    <xf borderId="0" fillId="0" fontId="3" numFmtId="0" xfId="0" applyAlignment="1" applyFont="1">
      <alignment vertical="top"/>
    </xf>
    <xf borderId="2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left" readingOrder="0" shrinkToFit="0" vertical="top" wrapText="1"/>
    </xf>
    <xf borderId="6" fillId="0" fontId="5" numFmtId="0" xfId="0" applyBorder="1" applyFont="1"/>
    <xf borderId="0" fillId="0" fontId="3" numFmtId="0" xfId="0" applyAlignment="1" applyFont="1">
      <alignment horizontal="left" vertical="top"/>
    </xf>
    <xf borderId="2" fillId="0" fontId="3" numFmtId="0" xfId="0" applyAlignment="1" applyBorder="1" applyFont="1">
      <alignment horizontal="left" readingOrder="0" vertical="center"/>
    </xf>
    <xf borderId="6" fillId="0" fontId="3" numFmtId="164" xfId="0" applyAlignment="1" applyBorder="1" applyFont="1" applyNumberFormat="1">
      <alignment shrinkToFit="0" vertical="top" wrapText="1"/>
    </xf>
    <xf quotePrefix="1"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shrinkToFit="0" wrapText="1"/>
    </xf>
    <xf borderId="7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center" readingOrder="0" vertical="top"/>
    </xf>
    <xf borderId="4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center" readingOrder="0" vertical="top"/>
    </xf>
    <xf borderId="4" fillId="0" fontId="3" numFmtId="0" xfId="0" applyAlignment="1" applyBorder="1" applyFont="1">
      <alignment horizontal="left" readingOrder="0" shrinkToFit="0" vertical="top" wrapText="1"/>
    </xf>
    <xf quotePrefix="1" borderId="8" fillId="0" fontId="3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top"/>
    </xf>
    <xf borderId="0" fillId="0" fontId="3" numFmtId="0" xfId="0" applyAlignment="1" applyFont="1">
      <alignment horizontal="left" shrinkToFit="0" vertical="top" wrapText="1"/>
    </xf>
    <xf borderId="7" fillId="2" fontId="4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top"/>
    </xf>
    <xf borderId="4" fillId="0" fontId="7" numFmtId="0" xfId="0" applyAlignment="1" applyBorder="1" applyFont="1">
      <alignment horizontal="center" vertical="top"/>
    </xf>
    <xf borderId="0" fillId="0" fontId="3" numFmtId="10" xfId="0" applyFont="1" applyNumberFormat="1"/>
    <xf borderId="0" fillId="0" fontId="3" numFmtId="165" xfId="0" applyFont="1" applyNumberFormat="1"/>
    <xf borderId="1" fillId="0" fontId="3" numFmtId="0" xfId="0" applyAlignment="1" applyBorder="1" applyFont="1">
      <alignment horizontal="center" vertical="top"/>
    </xf>
    <xf borderId="0" fillId="0" fontId="3" numFmtId="166" xfId="0" applyFont="1" applyNumberFormat="1"/>
    <xf borderId="4" fillId="0" fontId="6" numFmtId="0" xfId="0" applyAlignment="1" applyBorder="1" applyFont="1">
      <alignment horizontal="center" vertical="top"/>
    </xf>
    <xf borderId="8" fillId="0" fontId="7" numFmtId="0" xfId="0" applyAlignment="1" applyBorder="1" applyFont="1">
      <alignment horizontal="center" vertical="top"/>
    </xf>
    <xf borderId="0" fillId="0" fontId="6" numFmtId="0" xfId="0" applyAlignment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/>
    </xf>
    <xf borderId="0" fillId="0" fontId="3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1" fillId="3" fontId="9" numFmtId="0" xfId="0" applyBorder="1" applyFill="1" applyFont="1"/>
    <xf borderId="1" fillId="0" fontId="9" numFmtId="0" xfId="0" applyBorder="1" applyFont="1"/>
    <xf borderId="1" fillId="0" fontId="9" numFmtId="9" xfId="0" applyBorder="1" applyFont="1" applyNumberFormat="1"/>
    <xf borderId="0" fillId="0" fontId="10" numFmtId="0" xfId="0" applyFont="1"/>
    <xf borderId="1" fillId="0" fontId="9" numFmtId="0" xfId="0" applyAlignment="1" applyBorder="1" applyFont="1">
      <alignment horizontal="center"/>
    </xf>
    <xf borderId="4" fillId="0" fontId="9" numFmtId="0" xfId="0" applyBorder="1" applyFont="1"/>
    <xf borderId="1" fillId="4" fontId="9" numFmtId="0" xfId="0" applyBorder="1" applyFill="1" applyFont="1"/>
    <xf borderId="9" fillId="0" fontId="9" numFmtId="0" xfId="0" applyBorder="1" applyFont="1"/>
    <xf borderId="1" fillId="0" fontId="9" numFmtId="0" xfId="0" applyAlignment="1" applyBorder="1" applyFont="1">
      <alignment horizontal="left" shrinkToFit="0" wrapText="1"/>
    </xf>
    <xf borderId="1" fillId="0" fontId="9" numFmtId="167" xfId="0" applyAlignment="1" applyBorder="1" applyFont="1" applyNumberFormat="1">
      <alignment vertical="top"/>
    </xf>
    <xf borderId="1" fillId="0" fontId="9" numFmtId="9" xfId="0" applyAlignment="1" applyBorder="1" applyFont="1" applyNumberFormat="1">
      <alignment vertical="top"/>
    </xf>
    <xf borderId="0" fillId="0" fontId="9" numFmtId="166" xfId="0" applyFont="1" applyNumberFormat="1"/>
    <xf borderId="0" fillId="0" fontId="9" numFmtId="10" xfId="0" applyFont="1" applyNumberFormat="1"/>
    <xf borderId="1" fillId="0" fontId="9" numFmtId="10" xfId="0" applyBorder="1" applyFont="1" applyNumberFormat="1"/>
    <xf borderId="8" fillId="0" fontId="9" numFmtId="0" xfId="0" applyBorder="1" applyFont="1"/>
    <xf borderId="1" fillId="0" fontId="9" numFmtId="167" xfId="0" applyBorder="1" applyFont="1" applyNumberFormat="1"/>
    <xf borderId="1" fillId="0" fontId="9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enovo" id="{5ee61357-abf3-4236-9b45-daf397d0914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8" dT="2025-12-20T02:34:32.00" personId="{5ee61357-abf3-4236-9b45-daf397d09142}" id="{25fd6278-a726-475d-97d5-6e5a239a3ddc}" done="0">
    <x18tc:text xml:space="preserve">BPP perkreditan 2014 hal 11</x18tc:text>
  </x18tc:threadedComment>
  <x18tc:threadedComment ref="D58" dT="2025-12-20T02:34:32.00" personId="{5ee61357-abf3-4236-9b45-daf397d09142}" id="{487b2f38-bdf2-46b5-a993-f56e5023a85c}" done="0">
    <x18tc:text xml:space="preserve">BPP perkreditan 2014 hal 11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51.0"/>
    <col customWidth="1" min="3" max="3" width="22.14"/>
    <col customWidth="1" min="4" max="4" width="64.86"/>
    <col customWidth="1" min="5" max="5" width="18.86"/>
    <col customWidth="1" min="6" max="6" width="18.43"/>
    <col customWidth="1" min="7" max="7" width="19.14"/>
    <col customWidth="1" min="8" max="26" width="9.14"/>
  </cols>
  <sheetData>
    <row r="1" ht="34.5" customHeight="1">
      <c r="A1" s="1"/>
      <c r="B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/>
      <c r="B2" s="4"/>
      <c r="C2" s="4"/>
      <c r="D2" s="4"/>
      <c r="E2" s="3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6"/>
      <c r="C3" s="3"/>
      <c r="D3" s="7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8" t="s">
        <v>1</v>
      </c>
      <c r="C4" s="3"/>
      <c r="D4" s="7"/>
      <c r="E4" s="3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5" t="s">
        <v>2</v>
      </c>
      <c r="C5" s="3"/>
      <c r="D5" s="7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5" t="s">
        <v>3</v>
      </c>
      <c r="C6" s="3"/>
      <c r="D6" s="7"/>
      <c r="E6" s="3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5" t="s">
        <v>4</v>
      </c>
      <c r="C7" s="3"/>
      <c r="D7" s="7"/>
      <c r="E7" s="3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6"/>
      <c r="C8" s="3"/>
      <c r="D8" s="7"/>
      <c r="E8" s="3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9" t="s">
        <v>5</v>
      </c>
      <c r="E9" s="3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0"/>
      <c r="B10" s="11"/>
      <c r="C10" s="9"/>
      <c r="D10" s="12"/>
      <c r="E10" s="3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13" t="s">
        <v>6</v>
      </c>
      <c r="C11" s="14" t="s">
        <v>7</v>
      </c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16"/>
      <c r="C12" s="17"/>
      <c r="D12" s="1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6"/>
      <c r="C13" s="3"/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18" t="s">
        <v>8</v>
      </c>
      <c r="C14" s="19"/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18"/>
      <c r="C15" s="19"/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20" t="s">
        <v>9</v>
      </c>
      <c r="C16" s="21"/>
      <c r="D16" s="1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20" t="s">
        <v>10</v>
      </c>
      <c r="C17" s="21"/>
      <c r="D17" s="1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22"/>
      <c r="B18" s="20" t="s">
        <v>11</v>
      </c>
      <c r="C18" s="23"/>
      <c r="D18" s="15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3"/>
      <c r="B19" s="20" t="s">
        <v>12</v>
      </c>
      <c r="C19" s="24"/>
      <c r="D19" s="1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22"/>
      <c r="B20" s="25" t="s">
        <v>13</v>
      </c>
      <c r="C20" s="26"/>
      <c r="D20" s="27"/>
      <c r="E20" s="28"/>
      <c r="F20" s="28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3"/>
      <c r="B21" s="20" t="s">
        <v>14</v>
      </c>
      <c r="C21" s="21"/>
      <c r="D21" s="1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20" t="s">
        <v>15</v>
      </c>
      <c r="C22" s="21"/>
      <c r="D22" s="1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22"/>
      <c r="B23" s="20" t="s">
        <v>16</v>
      </c>
      <c r="C23" s="29"/>
      <c r="D23" s="15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22"/>
      <c r="B24" s="25" t="s">
        <v>17</v>
      </c>
      <c r="C24" s="26"/>
      <c r="D24" s="30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A25" s="3"/>
      <c r="B25" s="31" t="s">
        <v>18</v>
      </c>
      <c r="C25" s="32"/>
      <c r="D25" s="3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1.5" customHeight="1">
      <c r="A26" s="22"/>
      <c r="B26" s="20" t="s">
        <v>19</v>
      </c>
      <c r="C26" s="23"/>
      <c r="D26" s="15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3"/>
      <c r="B27" s="6"/>
      <c r="C27" s="3"/>
      <c r="D27" s="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18" t="s">
        <v>20</v>
      </c>
      <c r="C28" s="19"/>
      <c r="D28" s="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4" t="s">
        <v>21</v>
      </c>
      <c r="C29" s="35" t="s">
        <v>22</v>
      </c>
      <c r="D29" s="36" t="s">
        <v>23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0" customHeight="1">
      <c r="A30" s="22"/>
      <c r="B30" s="20" t="s">
        <v>24</v>
      </c>
      <c r="C30" s="37"/>
      <c r="D30" s="38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75" customHeight="1">
      <c r="A31" s="22"/>
      <c r="B31" s="20" t="s">
        <v>25</v>
      </c>
      <c r="C31" s="37"/>
      <c r="D31" s="38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22"/>
      <c r="B32" s="25" t="s">
        <v>26</v>
      </c>
      <c r="C32" s="39"/>
      <c r="D32" s="38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22"/>
      <c r="B33" s="20" t="s">
        <v>27</v>
      </c>
      <c r="C33" s="37"/>
      <c r="D33" s="38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A34" s="22"/>
      <c r="B34" s="40" t="s">
        <v>28</v>
      </c>
      <c r="C34" s="39"/>
      <c r="D34" s="38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22"/>
      <c r="B35" s="41" t="s">
        <v>29</v>
      </c>
      <c r="C35" s="37"/>
      <c r="D35" s="4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A36" s="22"/>
      <c r="B36" s="41" t="s">
        <v>30</v>
      </c>
      <c r="C36" s="37"/>
      <c r="D36" s="38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A37" s="22"/>
      <c r="B37" s="41" t="s">
        <v>31</v>
      </c>
      <c r="C37" s="37"/>
      <c r="D37" s="38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A38" s="22"/>
      <c r="B38" s="40" t="s">
        <v>32</v>
      </c>
      <c r="C38" s="43"/>
      <c r="D38" s="44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A39" s="22"/>
      <c r="B39" s="45" t="s">
        <v>33</v>
      </c>
      <c r="C39" s="46"/>
      <c r="D39" s="47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A40" s="22"/>
      <c r="B40" s="48"/>
      <c r="C40" s="49"/>
      <c r="D40" s="50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A41" s="3"/>
      <c r="B41" s="18" t="s">
        <v>34</v>
      </c>
      <c r="C41" s="19"/>
      <c r="D41" s="5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4" t="s">
        <v>21</v>
      </c>
      <c r="C42" s="35" t="s">
        <v>22</v>
      </c>
      <c r="D42" s="51" t="s">
        <v>23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20" t="s">
        <v>35</v>
      </c>
      <c r="C43" s="52"/>
      <c r="D43" s="5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20" t="s">
        <v>36</v>
      </c>
      <c r="C44" s="52"/>
      <c r="D44" s="5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20" t="s">
        <v>37</v>
      </c>
      <c r="C45" s="52"/>
      <c r="D45" s="5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20" t="s">
        <v>38</v>
      </c>
      <c r="C46" s="52"/>
      <c r="D46" s="5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41" t="s">
        <v>39</v>
      </c>
      <c r="C47" s="52"/>
      <c r="D47" s="5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41" t="s">
        <v>40</v>
      </c>
      <c r="C48" s="52"/>
      <c r="D48" s="4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41" t="s">
        <v>41</v>
      </c>
      <c r="C49" s="52"/>
      <c r="D49" s="4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40" t="s">
        <v>42</v>
      </c>
      <c r="C50" s="54"/>
      <c r="D50" s="5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56"/>
      <c r="C51" s="46"/>
      <c r="D51" s="4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48"/>
      <c r="C52" s="57"/>
      <c r="D52" s="5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18" t="s">
        <v>43</v>
      </c>
      <c r="C53" s="19"/>
      <c r="D53" s="50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4" t="s">
        <v>21</v>
      </c>
      <c r="C54" s="35" t="s">
        <v>22</v>
      </c>
      <c r="D54" s="51" t="s">
        <v>23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20" t="s">
        <v>44</v>
      </c>
      <c r="C55" s="52"/>
      <c r="D55" s="5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20" t="s">
        <v>45</v>
      </c>
      <c r="C56" s="52"/>
      <c r="D56" s="5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20" t="s">
        <v>46</v>
      </c>
      <c r="C57" s="52"/>
      <c r="D57" s="5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20" t="s">
        <v>47</v>
      </c>
      <c r="C58" s="52"/>
      <c r="D58" s="5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41" t="s">
        <v>48</v>
      </c>
      <c r="C59" s="52"/>
      <c r="D59" s="5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22"/>
      <c r="B60" s="41" t="s">
        <v>49</v>
      </c>
      <c r="C60" s="52"/>
      <c r="D60" s="53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A61" s="3"/>
      <c r="B61" s="41" t="s">
        <v>50</v>
      </c>
      <c r="C61" s="52"/>
      <c r="D61" s="5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6"/>
      <c r="C62" s="3"/>
      <c r="D62" s="5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18" t="s">
        <v>51</v>
      </c>
      <c r="C63" s="19"/>
      <c r="D63" s="5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4" t="s">
        <v>21</v>
      </c>
      <c r="C64" s="35" t="s">
        <v>22</v>
      </c>
      <c r="D64" s="51" t="s">
        <v>23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25" t="s">
        <v>52</v>
      </c>
      <c r="C65" s="58"/>
      <c r="D65" s="55"/>
      <c r="E65" s="5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20" t="s">
        <v>53</v>
      </c>
      <c r="C66" s="52"/>
      <c r="D66" s="53"/>
      <c r="E66" s="5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20" t="s">
        <v>54</v>
      </c>
      <c r="C67" s="52"/>
      <c r="D67" s="53"/>
      <c r="E67" s="6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20" t="s">
        <v>55</v>
      </c>
      <c r="C68" s="52"/>
      <c r="D68" s="5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41" t="s">
        <v>56</v>
      </c>
      <c r="C69" s="52"/>
      <c r="D69" s="5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41" t="s">
        <v>57</v>
      </c>
      <c r="C70" s="52"/>
      <c r="D70" s="5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20" t="s">
        <v>58</v>
      </c>
      <c r="C71" s="52"/>
      <c r="D71" s="5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20" t="s">
        <v>59</v>
      </c>
      <c r="C72" s="61"/>
      <c r="D72" s="53"/>
      <c r="E72" s="59"/>
      <c r="F72" s="3"/>
      <c r="G72" s="5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20" t="s">
        <v>60</v>
      </c>
      <c r="C73" s="61"/>
      <c r="D73" s="53"/>
      <c r="E73" s="62"/>
      <c r="F73" s="3"/>
      <c r="G73" s="6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40" t="s">
        <v>42</v>
      </c>
      <c r="C74" s="63"/>
      <c r="D74" s="55"/>
      <c r="E74" s="62"/>
      <c r="F74" s="3"/>
      <c r="G74" s="5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56"/>
      <c r="C75" s="64"/>
      <c r="D75" s="4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48"/>
      <c r="C76" s="65"/>
      <c r="D76" s="5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18" t="s">
        <v>61</v>
      </c>
      <c r="C77" s="19"/>
      <c r="D77" s="5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4" t="s">
        <v>21</v>
      </c>
      <c r="C78" s="35" t="s">
        <v>22</v>
      </c>
      <c r="D78" s="51" t="s">
        <v>23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20" t="s">
        <v>62</v>
      </c>
      <c r="C79" s="66"/>
      <c r="D79" s="5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20" t="s">
        <v>63</v>
      </c>
      <c r="C80" s="66"/>
      <c r="D80" s="5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20" t="s">
        <v>64</v>
      </c>
      <c r="C81" s="66"/>
      <c r="D81" s="5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20" t="s">
        <v>65</v>
      </c>
      <c r="C82" s="66"/>
      <c r="D82" s="5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41" t="s">
        <v>66</v>
      </c>
      <c r="C83" s="52"/>
      <c r="D83" s="5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41" t="s">
        <v>67</v>
      </c>
      <c r="C84" s="52"/>
      <c r="D84" s="5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22"/>
      <c r="B85" s="20" t="s">
        <v>68</v>
      </c>
      <c r="C85" s="67"/>
      <c r="D85" s="53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3"/>
      <c r="B86" s="20" t="s">
        <v>69</v>
      </c>
      <c r="C86" s="52"/>
      <c r="D86" s="5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41" t="s">
        <v>32</v>
      </c>
      <c r="C87" s="52"/>
      <c r="D87" s="53"/>
      <c r="E87" s="3"/>
      <c r="F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41"/>
      <c r="C88" s="66"/>
      <c r="D88" s="5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48"/>
      <c r="C89" s="65"/>
      <c r="D89" s="5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 t="s">
        <v>70</v>
      </c>
      <c r="B90" s="6"/>
      <c r="C90" s="3"/>
      <c r="D90" s="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6"/>
      <c r="C91" s="3"/>
      <c r="D91" s="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6"/>
      <c r="C92" s="3"/>
      <c r="D92" s="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6"/>
      <c r="C93" s="3"/>
      <c r="D93" s="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6"/>
      <c r="C94" s="3"/>
      <c r="D94" s="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6"/>
      <c r="C95" s="3"/>
      <c r="D95" s="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6" t="s">
        <v>71</v>
      </c>
      <c r="C96" s="3"/>
      <c r="D96" s="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68" t="s">
        <v>72</v>
      </c>
      <c r="C97" s="3"/>
      <c r="D97" s="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68" t="s">
        <v>73</v>
      </c>
      <c r="C98" s="3"/>
      <c r="D98" s="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6.0" customHeight="1">
      <c r="A99" s="3"/>
      <c r="B99" s="68"/>
      <c r="C99" s="3"/>
      <c r="D99" s="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68"/>
      <c r="C100" s="3"/>
      <c r="D100" s="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69" t="s">
        <v>74</v>
      </c>
      <c r="C101" s="3"/>
      <c r="D101" s="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68" t="s">
        <v>75</v>
      </c>
      <c r="C102" s="3"/>
      <c r="D102" s="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6"/>
      <c r="C103" s="3"/>
      <c r="D103" s="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6"/>
      <c r="C104" s="3"/>
      <c r="D104" s="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6"/>
      <c r="C105" s="3"/>
      <c r="D105" s="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6"/>
      <c r="C106" s="3"/>
      <c r="D106" s="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6"/>
      <c r="C107" s="3"/>
      <c r="D107" s="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6"/>
      <c r="C108" s="3"/>
      <c r="D108" s="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6"/>
      <c r="C109" s="3"/>
      <c r="D109" s="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6"/>
      <c r="C110" s="3"/>
      <c r="D110" s="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6"/>
      <c r="C111" s="3"/>
      <c r="D111" s="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6"/>
      <c r="C112" s="3"/>
      <c r="D112" s="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6"/>
      <c r="C113" s="3"/>
      <c r="D113" s="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6"/>
      <c r="C114" s="3"/>
      <c r="D114" s="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6"/>
      <c r="C115" s="3"/>
      <c r="D115" s="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6"/>
      <c r="C116" s="3"/>
      <c r="D116" s="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6"/>
      <c r="C117" s="3"/>
      <c r="D117" s="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6"/>
      <c r="C118" s="3"/>
      <c r="D118" s="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6"/>
      <c r="C119" s="3"/>
      <c r="D119" s="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6"/>
      <c r="C120" s="3"/>
      <c r="D120" s="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6"/>
      <c r="C121" s="3"/>
      <c r="D121" s="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6"/>
      <c r="C122" s="3"/>
      <c r="D122" s="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6"/>
      <c r="C123" s="3"/>
      <c r="D123" s="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6"/>
      <c r="C124" s="3"/>
      <c r="D124" s="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6"/>
      <c r="C125" s="3"/>
      <c r="D125" s="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6"/>
      <c r="C126" s="3"/>
      <c r="D126" s="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6"/>
      <c r="C127" s="3"/>
      <c r="D127" s="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6"/>
      <c r="C128" s="3"/>
      <c r="D128" s="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6"/>
      <c r="C129" s="3"/>
      <c r="D129" s="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6"/>
      <c r="C130" s="3"/>
      <c r="D130" s="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6"/>
      <c r="C131" s="3"/>
      <c r="D131" s="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6"/>
      <c r="C132" s="3"/>
      <c r="D132" s="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6"/>
      <c r="C133" s="3"/>
      <c r="D133" s="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6"/>
      <c r="C134" s="3"/>
      <c r="D134" s="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6"/>
      <c r="C135" s="3"/>
      <c r="D135" s="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6"/>
      <c r="C136" s="3"/>
      <c r="D136" s="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6"/>
      <c r="C137" s="3"/>
      <c r="D137" s="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6"/>
      <c r="C138" s="3"/>
      <c r="D138" s="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6"/>
      <c r="C139" s="3"/>
      <c r="D139" s="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6"/>
      <c r="C140" s="3"/>
      <c r="D140" s="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6"/>
      <c r="C141" s="3"/>
      <c r="D141" s="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6"/>
      <c r="C142" s="3"/>
      <c r="D142" s="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6"/>
      <c r="C143" s="3"/>
      <c r="D143" s="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6"/>
      <c r="C144" s="3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6"/>
      <c r="C145" s="3"/>
      <c r="D145" s="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6"/>
      <c r="C146" s="3"/>
      <c r="D146" s="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6"/>
      <c r="C147" s="3"/>
      <c r="D147" s="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6"/>
      <c r="C148" s="3"/>
      <c r="D148" s="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6"/>
      <c r="C149" s="3"/>
      <c r="D149" s="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6"/>
      <c r="C150" s="3"/>
      <c r="D150" s="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6"/>
      <c r="C151" s="3"/>
      <c r="D151" s="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6"/>
      <c r="C152" s="3"/>
      <c r="D152" s="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6"/>
      <c r="C153" s="3"/>
      <c r="D153" s="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6"/>
      <c r="C154" s="3"/>
      <c r="D154" s="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6"/>
      <c r="C155" s="3"/>
      <c r="D155" s="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6"/>
      <c r="C156" s="3"/>
      <c r="D156" s="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6"/>
      <c r="C157" s="3"/>
      <c r="D157" s="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6"/>
      <c r="C158" s="3"/>
      <c r="D158" s="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6"/>
      <c r="C159" s="3"/>
      <c r="D159" s="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6"/>
      <c r="C160" s="3"/>
      <c r="D160" s="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6"/>
      <c r="C161" s="3"/>
      <c r="D161" s="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6"/>
      <c r="C162" s="3"/>
      <c r="D162" s="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6"/>
      <c r="C163" s="3"/>
      <c r="D163" s="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6"/>
      <c r="C164" s="3"/>
      <c r="D164" s="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6"/>
      <c r="C165" s="3"/>
      <c r="D165" s="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6"/>
      <c r="C166" s="3"/>
      <c r="D166" s="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6"/>
      <c r="C167" s="3"/>
      <c r="D167" s="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6"/>
      <c r="C168" s="3"/>
      <c r="D168" s="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6"/>
      <c r="C169" s="3"/>
      <c r="D169" s="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6"/>
      <c r="C170" s="3"/>
      <c r="D170" s="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6"/>
      <c r="C171" s="3"/>
      <c r="D171" s="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6"/>
      <c r="C172" s="3"/>
      <c r="D172" s="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6"/>
      <c r="C173" s="3"/>
      <c r="D173" s="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6"/>
      <c r="C174" s="3"/>
      <c r="D174" s="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6"/>
      <c r="C175" s="3"/>
      <c r="D175" s="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6"/>
      <c r="C176" s="3"/>
      <c r="D176" s="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6"/>
      <c r="C177" s="3"/>
      <c r="D177" s="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6"/>
      <c r="C178" s="3"/>
      <c r="D178" s="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6"/>
      <c r="C179" s="3"/>
      <c r="D179" s="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6"/>
      <c r="C180" s="3"/>
      <c r="D180" s="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6"/>
      <c r="C181" s="3"/>
      <c r="D181" s="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6"/>
      <c r="C182" s="3"/>
      <c r="D182" s="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6"/>
      <c r="C183" s="3"/>
      <c r="D183" s="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6"/>
      <c r="C184" s="3"/>
      <c r="D184" s="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6"/>
      <c r="C185" s="3"/>
      <c r="D185" s="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6"/>
      <c r="C186" s="3"/>
      <c r="D186" s="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6"/>
      <c r="C187" s="3"/>
      <c r="D187" s="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6"/>
      <c r="C188" s="3"/>
      <c r="D188" s="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6"/>
      <c r="C189" s="3"/>
      <c r="D189" s="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6"/>
      <c r="C190" s="3"/>
      <c r="D190" s="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6"/>
      <c r="C191" s="3"/>
      <c r="D191" s="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6"/>
      <c r="C192" s="3"/>
      <c r="D192" s="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6"/>
      <c r="C193" s="3"/>
      <c r="D193" s="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6"/>
      <c r="C194" s="3"/>
      <c r="D194" s="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6"/>
      <c r="C195" s="3"/>
      <c r="D195" s="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6"/>
      <c r="C196" s="3"/>
      <c r="D196" s="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6"/>
      <c r="C197" s="3"/>
      <c r="D197" s="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6"/>
      <c r="C198" s="3"/>
      <c r="D198" s="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6"/>
      <c r="C199" s="3"/>
      <c r="D199" s="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6"/>
      <c r="C200" s="3"/>
      <c r="D200" s="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6"/>
      <c r="C201" s="3"/>
      <c r="D201" s="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6"/>
      <c r="C202" s="3"/>
      <c r="D202" s="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6"/>
      <c r="C203" s="3"/>
      <c r="D203" s="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6"/>
      <c r="C204" s="3"/>
      <c r="D204" s="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6"/>
      <c r="C205" s="3"/>
      <c r="D205" s="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6"/>
      <c r="C206" s="3"/>
      <c r="D206" s="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6"/>
      <c r="C207" s="3"/>
      <c r="D207" s="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6"/>
      <c r="C208" s="3"/>
      <c r="D208" s="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6"/>
      <c r="C209" s="3"/>
      <c r="D209" s="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6"/>
      <c r="C210" s="3"/>
      <c r="D210" s="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6"/>
      <c r="C211" s="3"/>
      <c r="D211" s="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6"/>
      <c r="C212" s="3"/>
      <c r="D212" s="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6"/>
      <c r="C213" s="3"/>
      <c r="D213" s="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6"/>
      <c r="C214" s="3"/>
      <c r="D214" s="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6"/>
      <c r="C215" s="3"/>
      <c r="D215" s="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6"/>
      <c r="C216" s="3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6"/>
      <c r="C217" s="3"/>
      <c r="D217" s="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6"/>
      <c r="C218" s="3"/>
      <c r="D218" s="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6"/>
      <c r="C219" s="3"/>
      <c r="D219" s="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6"/>
      <c r="C220" s="3"/>
      <c r="D220" s="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6"/>
      <c r="C221" s="3"/>
      <c r="D221" s="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6"/>
      <c r="C222" s="3"/>
      <c r="D222" s="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6"/>
      <c r="C223" s="3"/>
      <c r="D223" s="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6"/>
      <c r="C224" s="3"/>
      <c r="D224" s="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6"/>
      <c r="C225" s="3"/>
      <c r="D225" s="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6"/>
      <c r="C226" s="3"/>
      <c r="D226" s="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6"/>
      <c r="C227" s="3"/>
      <c r="D227" s="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6"/>
      <c r="C228" s="3"/>
      <c r="D228" s="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6"/>
      <c r="C229" s="3"/>
      <c r="D229" s="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6"/>
      <c r="C230" s="3"/>
      <c r="D230" s="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6"/>
      <c r="C231" s="3"/>
      <c r="D231" s="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6"/>
      <c r="C232" s="3"/>
      <c r="D232" s="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6"/>
      <c r="C233" s="3"/>
      <c r="D233" s="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6"/>
      <c r="C234" s="3"/>
      <c r="D234" s="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6"/>
      <c r="C235" s="3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6"/>
      <c r="C236" s="3"/>
      <c r="D236" s="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6"/>
      <c r="C237" s="3"/>
      <c r="D237" s="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6"/>
      <c r="C238" s="3"/>
      <c r="D238" s="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6"/>
      <c r="C239" s="3"/>
      <c r="D239" s="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6"/>
      <c r="C240" s="3"/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6"/>
      <c r="C241" s="3"/>
      <c r="D241" s="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6"/>
      <c r="C242" s="3"/>
      <c r="D242" s="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6"/>
      <c r="C243" s="3"/>
      <c r="D243" s="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6"/>
      <c r="C244" s="3"/>
      <c r="D244" s="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6"/>
      <c r="C245" s="3"/>
      <c r="D245" s="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6"/>
      <c r="C246" s="3"/>
      <c r="D246" s="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6"/>
      <c r="C247" s="3"/>
      <c r="D247" s="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6"/>
      <c r="C248" s="3"/>
      <c r="D248" s="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6"/>
      <c r="C249" s="3"/>
      <c r="D249" s="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6"/>
      <c r="C250" s="3"/>
      <c r="D250" s="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6"/>
      <c r="C251" s="3"/>
      <c r="D251" s="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6"/>
      <c r="C252" s="3"/>
      <c r="D252" s="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6"/>
      <c r="C253" s="3"/>
      <c r="D253" s="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6"/>
      <c r="C254" s="3"/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6"/>
      <c r="C255" s="3"/>
      <c r="D255" s="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6"/>
      <c r="C256" s="3"/>
      <c r="D256" s="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6"/>
      <c r="C257" s="3"/>
      <c r="D257" s="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6"/>
      <c r="C258" s="3"/>
      <c r="D258" s="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6"/>
      <c r="C259" s="3"/>
      <c r="D259" s="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6"/>
      <c r="C260" s="3"/>
      <c r="D260" s="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6"/>
      <c r="C261" s="3"/>
      <c r="D261" s="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6"/>
      <c r="C262" s="3"/>
      <c r="D262" s="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6"/>
      <c r="C263" s="3"/>
      <c r="D263" s="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6"/>
      <c r="C264" s="3"/>
      <c r="D264" s="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6"/>
      <c r="C265" s="3"/>
      <c r="D265" s="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6"/>
      <c r="C266" s="3"/>
      <c r="D266" s="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6"/>
      <c r="C267" s="3"/>
      <c r="D267" s="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6"/>
      <c r="C268" s="3"/>
      <c r="D268" s="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6"/>
      <c r="C269" s="3"/>
      <c r="D269" s="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6"/>
      <c r="C270" s="3"/>
      <c r="D270" s="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6"/>
      <c r="C271" s="3"/>
      <c r="D271" s="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6"/>
      <c r="C272" s="3"/>
      <c r="D272" s="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6"/>
      <c r="C273" s="3"/>
      <c r="D273" s="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6"/>
      <c r="C274" s="3"/>
      <c r="D274" s="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6"/>
      <c r="C275" s="3"/>
      <c r="D275" s="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6"/>
      <c r="C276" s="3"/>
      <c r="D276" s="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6"/>
      <c r="C277" s="3"/>
      <c r="D277" s="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6"/>
      <c r="C278" s="3"/>
      <c r="D278" s="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6"/>
      <c r="C279" s="3"/>
      <c r="D279" s="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6"/>
      <c r="C280" s="3"/>
      <c r="D280" s="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6"/>
      <c r="C281" s="3"/>
      <c r="D281" s="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6"/>
      <c r="C282" s="3"/>
      <c r="D282" s="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6"/>
      <c r="C283" s="3"/>
      <c r="D283" s="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6"/>
      <c r="C284" s="3"/>
      <c r="D284" s="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6"/>
      <c r="C285" s="3"/>
      <c r="D285" s="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6"/>
      <c r="C286" s="3"/>
      <c r="D286" s="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6"/>
      <c r="C287" s="3"/>
      <c r="D287" s="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6"/>
      <c r="C288" s="3"/>
      <c r="D288" s="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6"/>
      <c r="C289" s="3"/>
      <c r="D289" s="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6"/>
      <c r="C290" s="3"/>
      <c r="D290" s="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6"/>
      <c r="C291" s="3"/>
      <c r="D291" s="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6"/>
      <c r="C292" s="3"/>
      <c r="D292" s="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6"/>
      <c r="C293" s="3"/>
      <c r="D293" s="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6"/>
      <c r="C294" s="3"/>
      <c r="D294" s="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6"/>
      <c r="C295" s="3"/>
      <c r="D295" s="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6"/>
      <c r="C296" s="3"/>
      <c r="D296" s="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6"/>
      <c r="C297" s="3"/>
      <c r="D297" s="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6"/>
      <c r="C298" s="3"/>
      <c r="D298" s="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6"/>
      <c r="C299" s="3"/>
      <c r="D299" s="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6"/>
      <c r="C300" s="3"/>
      <c r="D300" s="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6"/>
      <c r="C301" s="3"/>
      <c r="D301" s="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6"/>
      <c r="C302" s="3"/>
      <c r="D302" s="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6"/>
      <c r="C303" s="3"/>
      <c r="D303" s="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6"/>
      <c r="C304" s="3"/>
      <c r="D304" s="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6"/>
      <c r="C305" s="3"/>
      <c r="D305" s="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6"/>
      <c r="C306" s="3"/>
      <c r="D306" s="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6"/>
      <c r="C307" s="3"/>
      <c r="D307" s="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6"/>
      <c r="C308" s="3"/>
      <c r="D308" s="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6"/>
      <c r="C309" s="3"/>
      <c r="D309" s="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6"/>
      <c r="C310" s="3"/>
      <c r="D310" s="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6"/>
      <c r="C311" s="3"/>
      <c r="D311" s="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6"/>
      <c r="C312" s="3"/>
      <c r="D312" s="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6"/>
      <c r="C313" s="3"/>
      <c r="D313" s="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6"/>
      <c r="C314" s="3"/>
      <c r="D314" s="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6"/>
      <c r="C315" s="3"/>
      <c r="D315" s="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6"/>
      <c r="C316" s="3"/>
      <c r="D316" s="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6"/>
      <c r="C317" s="3"/>
      <c r="D317" s="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6"/>
      <c r="C318" s="3"/>
      <c r="D318" s="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6"/>
      <c r="C319" s="3"/>
      <c r="D319" s="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6"/>
      <c r="C320" s="3"/>
      <c r="D320" s="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6"/>
      <c r="C321" s="3"/>
      <c r="D321" s="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6"/>
      <c r="C322" s="3"/>
      <c r="D322" s="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6"/>
      <c r="C323" s="3"/>
      <c r="D323" s="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6"/>
      <c r="C324" s="3"/>
      <c r="D324" s="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6"/>
      <c r="C325" s="3"/>
      <c r="D325" s="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6"/>
      <c r="C326" s="3"/>
      <c r="D326" s="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6"/>
      <c r="C327" s="3"/>
      <c r="D327" s="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6"/>
      <c r="C328" s="3"/>
      <c r="D328" s="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6"/>
      <c r="C329" s="3"/>
      <c r="D329" s="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6"/>
      <c r="C330" s="3"/>
      <c r="D330" s="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6"/>
      <c r="C331" s="3"/>
      <c r="D331" s="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6"/>
      <c r="C332" s="3"/>
      <c r="D332" s="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6"/>
      <c r="C333" s="3"/>
      <c r="D333" s="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6"/>
      <c r="C334" s="3"/>
      <c r="D334" s="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6"/>
      <c r="C335" s="3"/>
      <c r="D335" s="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6"/>
      <c r="C336" s="3"/>
      <c r="D336" s="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6"/>
      <c r="C337" s="3"/>
      <c r="D337" s="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6"/>
      <c r="C338" s="3"/>
      <c r="D338" s="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6"/>
      <c r="C339" s="3"/>
      <c r="D339" s="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6"/>
      <c r="C340" s="3"/>
      <c r="D340" s="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6"/>
      <c r="C341" s="3"/>
      <c r="D341" s="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6"/>
      <c r="C342" s="3"/>
      <c r="D342" s="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6"/>
      <c r="C343" s="3"/>
      <c r="D343" s="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6"/>
      <c r="C344" s="3"/>
      <c r="D344" s="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6"/>
      <c r="C345" s="3"/>
      <c r="D345" s="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6"/>
      <c r="C346" s="3"/>
      <c r="D346" s="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6"/>
      <c r="C347" s="3"/>
      <c r="D347" s="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6"/>
      <c r="C348" s="3"/>
      <c r="D348" s="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6"/>
      <c r="C349" s="3"/>
      <c r="D349" s="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6"/>
      <c r="C350" s="3"/>
      <c r="D350" s="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6"/>
      <c r="C351" s="3"/>
      <c r="D351" s="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6"/>
      <c r="C352" s="3"/>
      <c r="D352" s="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6"/>
      <c r="C353" s="3"/>
      <c r="D353" s="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6"/>
      <c r="C354" s="3"/>
      <c r="D354" s="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6"/>
      <c r="C355" s="3"/>
      <c r="D355" s="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6"/>
      <c r="C356" s="3"/>
      <c r="D356" s="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6"/>
      <c r="C357" s="3"/>
      <c r="D357" s="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6"/>
      <c r="C358" s="3"/>
      <c r="D358" s="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6"/>
      <c r="C359" s="3"/>
      <c r="D359" s="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6"/>
      <c r="C360" s="3"/>
      <c r="D360" s="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6"/>
      <c r="C361" s="3"/>
      <c r="D361" s="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6"/>
      <c r="C362" s="3"/>
      <c r="D362" s="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6"/>
      <c r="C363" s="3"/>
      <c r="D363" s="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6"/>
      <c r="C364" s="3"/>
      <c r="D364" s="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6"/>
      <c r="C365" s="3"/>
      <c r="D365" s="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6"/>
      <c r="C366" s="3"/>
      <c r="D366" s="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6"/>
      <c r="C367" s="3"/>
      <c r="D367" s="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6"/>
      <c r="C368" s="3"/>
      <c r="D368" s="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6"/>
      <c r="C369" s="3"/>
      <c r="D369" s="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6"/>
      <c r="C370" s="3"/>
      <c r="D370" s="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6"/>
      <c r="C371" s="3"/>
      <c r="D371" s="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6"/>
      <c r="C372" s="3"/>
      <c r="D372" s="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6"/>
      <c r="C373" s="3"/>
      <c r="D373" s="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6"/>
      <c r="C374" s="3"/>
      <c r="D374" s="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6"/>
      <c r="C375" s="3"/>
      <c r="D375" s="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6"/>
      <c r="C376" s="3"/>
      <c r="D376" s="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6"/>
      <c r="C377" s="3"/>
      <c r="D377" s="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6"/>
      <c r="C378" s="3"/>
      <c r="D378" s="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6"/>
      <c r="C379" s="3"/>
      <c r="D379" s="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6"/>
      <c r="C380" s="3"/>
      <c r="D380" s="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6"/>
      <c r="C381" s="3"/>
      <c r="D381" s="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6"/>
      <c r="C382" s="3"/>
      <c r="D382" s="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6"/>
      <c r="C383" s="3"/>
      <c r="D383" s="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6"/>
      <c r="C384" s="3"/>
      <c r="D384" s="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6"/>
      <c r="C385" s="3"/>
      <c r="D385" s="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6"/>
      <c r="C386" s="3"/>
      <c r="D386" s="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6"/>
      <c r="C387" s="3"/>
      <c r="D387" s="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6"/>
      <c r="C388" s="3"/>
      <c r="D388" s="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6"/>
      <c r="C389" s="3"/>
      <c r="D389" s="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6"/>
      <c r="C390" s="3"/>
      <c r="D390" s="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6"/>
      <c r="C391" s="3"/>
      <c r="D391" s="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6"/>
      <c r="C392" s="3"/>
      <c r="D392" s="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6"/>
      <c r="C393" s="3"/>
      <c r="D393" s="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6"/>
      <c r="C394" s="3"/>
      <c r="D394" s="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6"/>
      <c r="C395" s="3"/>
      <c r="D395" s="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6"/>
      <c r="C396" s="3"/>
      <c r="D396" s="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6"/>
      <c r="C397" s="3"/>
      <c r="D397" s="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6"/>
      <c r="C398" s="3"/>
      <c r="D398" s="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6"/>
      <c r="C399" s="3"/>
      <c r="D399" s="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6"/>
      <c r="C400" s="3"/>
      <c r="D400" s="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6"/>
      <c r="C401" s="3"/>
      <c r="D401" s="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6"/>
      <c r="C402" s="3"/>
      <c r="D402" s="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6"/>
      <c r="C403" s="3"/>
      <c r="D403" s="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6"/>
      <c r="C404" s="3"/>
      <c r="D404" s="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6"/>
      <c r="C405" s="3"/>
      <c r="D405" s="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6"/>
      <c r="C406" s="3"/>
      <c r="D406" s="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6"/>
      <c r="C407" s="3"/>
      <c r="D407" s="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6"/>
      <c r="C408" s="3"/>
      <c r="D408" s="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6"/>
      <c r="C409" s="3"/>
      <c r="D409" s="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6"/>
      <c r="C410" s="3"/>
      <c r="D410" s="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6"/>
      <c r="C411" s="3"/>
      <c r="D411" s="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6"/>
      <c r="C412" s="3"/>
      <c r="D412" s="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6"/>
      <c r="C413" s="3"/>
      <c r="D413" s="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6"/>
      <c r="C414" s="3"/>
      <c r="D414" s="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6"/>
      <c r="C415" s="3"/>
      <c r="D415" s="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6"/>
      <c r="C416" s="3"/>
      <c r="D416" s="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6"/>
      <c r="C417" s="3"/>
      <c r="D417" s="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6"/>
      <c r="C418" s="3"/>
      <c r="D418" s="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6"/>
      <c r="C419" s="3"/>
      <c r="D419" s="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6"/>
      <c r="C420" s="3"/>
      <c r="D420" s="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6"/>
      <c r="C421" s="3"/>
      <c r="D421" s="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6"/>
      <c r="C422" s="3"/>
      <c r="D422" s="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6"/>
      <c r="C423" s="3"/>
      <c r="D423" s="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6"/>
      <c r="C424" s="3"/>
      <c r="D424" s="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6"/>
      <c r="C425" s="3"/>
      <c r="D425" s="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6"/>
      <c r="C426" s="3"/>
      <c r="D426" s="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6"/>
      <c r="C427" s="3"/>
      <c r="D427" s="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6"/>
      <c r="C428" s="3"/>
      <c r="D428" s="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6"/>
      <c r="C429" s="3"/>
      <c r="D429" s="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6"/>
      <c r="C430" s="3"/>
      <c r="D430" s="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6"/>
      <c r="C431" s="3"/>
      <c r="D431" s="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6"/>
      <c r="C432" s="3"/>
      <c r="D432" s="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6"/>
      <c r="C433" s="3"/>
      <c r="D433" s="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6"/>
      <c r="C434" s="3"/>
      <c r="D434" s="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6"/>
      <c r="C435" s="3"/>
      <c r="D435" s="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6"/>
      <c r="C436" s="3"/>
      <c r="D436" s="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6"/>
      <c r="C437" s="3"/>
      <c r="D437" s="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6"/>
      <c r="C438" s="3"/>
      <c r="D438" s="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6"/>
      <c r="C439" s="3"/>
      <c r="D439" s="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6"/>
      <c r="C440" s="3"/>
      <c r="D440" s="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6"/>
      <c r="C441" s="3"/>
      <c r="D441" s="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6"/>
      <c r="C442" s="3"/>
      <c r="D442" s="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6"/>
      <c r="C443" s="3"/>
      <c r="D443" s="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6"/>
      <c r="C444" s="3"/>
      <c r="D444" s="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6"/>
      <c r="C445" s="3"/>
      <c r="D445" s="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6"/>
      <c r="C446" s="3"/>
      <c r="D446" s="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6"/>
      <c r="C447" s="3"/>
      <c r="D447" s="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6"/>
      <c r="C448" s="3"/>
      <c r="D448" s="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6"/>
      <c r="C449" s="3"/>
      <c r="D449" s="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6"/>
      <c r="C450" s="3"/>
      <c r="D450" s="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6"/>
      <c r="C451" s="3"/>
      <c r="D451" s="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6"/>
      <c r="C452" s="3"/>
      <c r="D452" s="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6"/>
      <c r="C453" s="3"/>
      <c r="D453" s="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6"/>
      <c r="C454" s="3"/>
      <c r="D454" s="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6"/>
      <c r="C455" s="3"/>
      <c r="D455" s="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6"/>
      <c r="C456" s="3"/>
      <c r="D456" s="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6"/>
      <c r="C457" s="3"/>
      <c r="D457" s="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6"/>
      <c r="C458" s="3"/>
      <c r="D458" s="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6"/>
      <c r="C459" s="3"/>
      <c r="D459" s="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6"/>
      <c r="C460" s="3"/>
      <c r="D460" s="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6"/>
      <c r="C461" s="3"/>
      <c r="D461" s="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6"/>
      <c r="C462" s="3"/>
      <c r="D462" s="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6"/>
      <c r="C463" s="3"/>
      <c r="D463" s="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6"/>
      <c r="C464" s="3"/>
      <c r="D464" s="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6"/>
      <c r="C465" s="3"/>
      <c r="D465" s="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6"/>
      <c r="C466" s="3"/>
      <c r="D466" s="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6"/>
      <c r="C467" s="3"/>
      <c r="D467" s="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6"/>
      <c r="C468" s="3"/>
      <c r="D468" s="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6"/>
      <c r="C469" s="3"/>
      <c r="D469" s="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6"/>
      <c r="C470" s="3"/>
      <c r="D470" s="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6"/>
      <c r="C471" s="3"/>
      <c r="D471" s="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6"/>
      <c r="C472" s="3"/>
      <c r="D472" s="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6"/>
      <c r="C473" s="3"/>
      <c r="D473" s="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6"/>
      <c r="C474" s="3"/>
      <c r="D474" s="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6"/>
      <c r="C475" s="3"/>
      <c r="D475" s="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6"/>
      <c r="C476" s="3"/>
      <c r="D476" s="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6"/>
      <c r="C477" s="3"/>
      <c r="D477" s="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6"/>
      <c r="C478" s="3"/>
      <c r="D478" s="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6"/>
      <c r="C479" s="3"/>
      <c r="D479" s="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6"/>
      <c r="C480" s="3"/>
      <c r="D480" s="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6"/>
      <c r="C481" s="3"/>
      <c r="D481" s="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6"/>
      <c r="C482" s="3"/>
      <c r="D482" s="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6"/>
      <c r="C483" s="3"/>
      <c r="D483" s="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6"/>
      <c r="C484" s="3"/>
      <c r="D484" s="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6"/>
      <c r="C485" s="3"/>
      <c r="D485" s="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6"/>
      <c r="C486" s="3"/>
      <c r="D486" s="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6"/>
      <c r="C487" s="3"/>
      <c r="D487" s="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6"/>
      <c r="C488" s="3"/>
      <c r="D488" s="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6"/>
      <c r="C489" s="3"/>
      <c r="D489" s="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6"/>
      <c r="C490" s="3"/>
      <c r="D490" s="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6"/>
      <c r="C491" s="3"/>
      <c r="D491" s="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6"/>
      <c r="C492" s="3"/>
      <c r="D492" s="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6"/>
      <c r="C493" s="3"/>
      <c r="D493" s="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6"/>
      <c r="C494" s="3"/>
      <c r="D494" s="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6"/>
      <c r="C495" s="3"/>
      <c r="D495" s="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6"/>
      <c r="C496" s="3"/>
      <c r="D496" s="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6"/>
      <c r="C497" s="3"/>
      <c r="D497" s="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6"/>
      <c r="C498" s="3"/>
      <c r="D498" s="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6"/>
      <c r="C499" s="3"/>
      <c r="D499" s="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6"/>
      <c r="C500" s="3"/>
      <c r="D500" s="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6"/>
      <c r="C501" s="3"/>
      <c r="D501" s="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6"/>
      <c r="C502" s="3"/>
      <c r="D502" s="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6"/>
      <c r="C503" s="3"/>
      <c r="D503" s="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6"/>
      <c r="C504" s="3"/>
      <c r="D504" s="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6"/>
      <c r="C505" s="3"/>
      <c r="D505" s="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6"/>
      <c r="C506" s="3"/>
      <c r="D506" s="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6"/>
      <c r="C507" s="3"/>
      <c r="D507" s="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6"/>
      <c r="C508" s="3"/>
      <c r="D508" s="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6"/>
      <c r="C509" s="3"/>
      <c r="D509" s="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6"/>
      <c r="C510" s="3"/>
      <c r="D510" s="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6"/>
      <c r="C511" s="3"/>
      <c r="D511" s="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6"/>
      <c r="C512" s="3"/>
      <c r="D512" s="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6"/>
      <c r="C513" s="3"/>
      <c r="D513" s="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6"/>
      <c r="C514" s="3"/>
      <c r="D514" s="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6"/>
      <c r="C515" s="3"/>
      <c r="D515" s="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6"/>
      <c r="C516" s="3"/>
      <c r="D516" s="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6"/>
      <c r="C517" s="3"/>
      <c r="D517" s="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6"/>
      <c r="C518" s="3"/>
      <c r="D518" s="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6"/>
      <c r="C519" s="3"/>
      <c r="D519" s="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6"/>
      <c r="C520" s="3"/>
      <c r="D520" s="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6"/>
      <c r="C521" s="3"/>
      <c r="D521" s="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6"/>
      <c r="C522" s="3"/>
      <c r="D522" s="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6"/>
      <c r="C523" s="3"/>
      <c r="D523" s="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6"/>
      <c r="C524" s="3"/>
      <c r="D524" s="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6"/>
      <c r="C525" s="3"/>
      <c r="D525" s="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6"/>
      <c r="C526" s="3"/>
      <c r="D526" s="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6"/>
      <c r="C527" s="3"/>
      <c r="D527" s="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6"/>
      <c r="C528" s="3"/>
      <c r="D528" s="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6"/>
      <c r="C529" s="3"/>
      <c r="D529" s="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6"/>
      <c r="C530" s="3"/>
      <c r="D530" s="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6"/>
      <c r="C531" s="3"/>
      <c r="D531" s="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6"/>
      <c r="C532" s="3"/>
      <c r="D532" s="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6"/>
      <c r="C533" s="3"/>
      <c r="D533" s="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6"/>
      <c r="C534" s="3"/>
      <c r="D534" s="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6"/>
      <c r="C535" s="3"/>
      <c r="D535" s="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6"/>
      <c r="C536" s="3"/>
      <c r="D536" s="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6"/>
      <c r="C537" s="3"/>
      <c r="D537" s="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6"/>
      <c r="C538" s="3"/>
      <c r="D538" s="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6"/>
      <c r="C539" s="3"/>
      <c r="D539" s="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6"/>
      <c r="C540" s="3"/>
      <c r="D540" s="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6"/>
      <c r="C541" s="3"/>
      <c r="D541" s="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6"/>
      <c r="C542" s="3"/>
      <c r="D542" s="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6"/>
      <c r="C543" s="3"/>
      <c r="D543" s="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6"/>
      <c r="C544" s="3"/>
      <c r="D544" s="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6"/>
      <c r="C545" s="3"/>
      <c r="D545" s="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6"/>
      <c r="C546" s="3"/>
      <c r="D546" s="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6"/>
      <c r="C547" s="3"/>
      <c r="D547" s="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6"/>
      <c r="C548" s="3"/>
      <c r="D548" s="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6"/>
      <c r="C549" s="3"/>
      <c r="D549" s="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6"/>
      <c r="C550" s="3"/>
      <c r="D550" s="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6"/>
      <c r="C551" s="3"/>
      <c r="D551" s="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6"/>
      <c r="C552" s="3"/>
      <c r="D552" s="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6"/>
      <c r="C553" s="3"/>
      <c r="D553" s="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6"/>
      <c r="C554" s="3"/>
      <c r="D554" s="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6"/>
      <c r="C555" s="3"/>
      <c r="D555" s="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6"/>
      <c r="C556" s="3"/>
      <c r="D556" s="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6"/>
      <c r="C557" s="3"/>
      <c r="D557" s="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6"/>
      <c r="C558" s="3"/>
      <c r="D558" s="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6"/>
      <c r="C559" s="3"/>
      <c r="D559" s="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6"/>
      <c r="C560" s="3"/>
      <c r="D560" s="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6"/>
      <c r="C561" s="3"/>
      <c r="D561" s="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6"/>
      <c r="C562" s="3"/>
      <c r="D562" s="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6"/>
      <c r="C563" s="3"/>
      <c r="D563" s="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6"/>
      <c r="C564" s="3"/>
      <c r="D564" s="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6"/>
      <c r="C565" s="3"/>
      <c r="D565" s="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6"/>
      <c r="C566" s="3"/>
      <c r="D566" s="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6"/>
      <c r="C567" s="3"/>
      <c r="D567" s="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6"/>
      <c r="C568" s="3"/>
      <c r="D568" s="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6"/>
      <c r="C569" s="3"/>
      <c r="D569" s="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6"/>
      <c r="C570" s="3"/>
      <c r="D570" s="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6"/>
      <c r="C571" s="3"/>
      <c r="D571" s="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6"/>
      <c r="C572" s="3"/>
      <c r="D572" s="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6"/>
      <c r="C573" s="3"/>
      <c r="D573" s="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6"/>
      <c r="C574" s="3"/>
      <c r="D574" s="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6"/>
      <c r="C575" s="3"/>
      <c r="D575" s="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6"/>
      <c r="C576" s="3"/>
      <c r="D576" s="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6"/>
      <c r="C577" s="3"/>
      <c r="D577" s="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6"/>
      <c r="C578" s="3"/>
      <c r="D578" s="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6"/>
      <c r="C579" s="3"/>
      <c r="D579" s="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6"/>
      <c r="C580" s="3"/>
      <c r="D580" s="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6"/>
      <c r="C581" s="3"/>
      <c r="D581" s="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6"/>
      <c r="C582" s="3"/>
      <c r="D582" s="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6"/>
      <c r="C583" s="3"/>
      <c r="D583" s="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6"/>
      <c r="C584" s="3"/>
      <c r="D584" s="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6"/>
      <c r="C585" s="3"/>
      <c r="D585" s="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6"/>
      <c r="C586" s="3"/>
      <c r="D586" s="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6"/>
      <c r="C587" s="3"/>
      <c r="D587" s="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6"/>
      <c r="C588" s="3"/>
      <c r="D588" s="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6"/>
      <c r="C589" s="3"/>
      <c r="D589" s="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6"/>
      <c r="C590" s="3"/>
      <c r="D590" s="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6"/>
      <c r="C591" s="3"/>
      <c r="D591" s="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6"/>
      <c r="C592" s="3"/>
      <c r="D592" s="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6"/>
      <c r="C593" s="3"/>
      <c r="D593" s="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6"/>
      <c r="C594" s="3"/>
      <c r="D594" s="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6"/>
      <c r="C595" s="3"/>
      <c r="D595" s="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6"/>
      <c r="C596" s="3"/>
      <c r="D596" s="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6"/>
      <c r="C597" s="3"/>
      <c r="D597" s="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6"/>
      <c r="C598" s="3"/>
      <c r="D598" s="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6"/>
      <c r="C599" s="3"/>
      <c r="D599" s="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6"/>
      <c r="C600" s="3"/>
      <c r="D600" s="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6"/>
      <c r="C601" s="3"/>
      <c r="D601" s="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6"/>
      <c r="C602" s="3"/>
      <c r="D602" s="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6"/>
      <c r="C603" s="3"/>
      <c r="D603" s="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6"/>
      <c r="C604" s="3"/>
      <c r="D604" s="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6"/>
      <c r="C605" s="3"/>
      <c r="D605" s="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6"/>
      <c r="C606" s="3"/>
      <c r="D606" s="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6"/>
      <c r="C607" s="3"/>
      <c r="D607" s="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6"/>
      <c r="C608" s="3"/>
      <c r="D608" s="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6"/>
      <c r="C609" s="3"/>
      <c r="D609" s="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6"/>
      <c r="C610" s="3"/>
      <c r="D610" s="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6"/>
      <c r="C611" s="3"/>
      <c r="D611" s="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6"/>
      <c r="C612" s="3"/>
      <c r="D612" s="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6"/>
      <c r="C613" s="3"/>
      <c r="D613" s="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6"/>
      <c r="C614" s="3"/>
      <c r="D614" s="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6"/>
      <c r="C615" s="3"/>
      <c r="D615" s="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6"/>
      <c r="C616" s="3"/>
      <c r="D616" s="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6"/>
      <c r="C617" s="3"/>
      <c r="D617" s="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6"/>
      <c r="C618" s="3"/>
      <c r="D618" s="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6"/>
      <c r="C619" s="3"/>
      <c r="D619" s="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6"/>
      <c r="C620" s="3"/>
      <c r="D620" s="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6"/>
      <c r="C621" s="3"/>
      <c r="D621" s="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6"/>
      <c r="C622" s="3"/>
      <c r="D622" s="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6"/>
      <c r="C623" s="3"/>
      <c r="D623" s="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6"/>
      <c r="C624" s="3"/>
      <c r="D624" s="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6"/>
      <c r="C625" s="3"/>
      <c r="D625" s="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6"/>
      <c r="C626" s="3"/>
      <c r="D626" s="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6"/>
      <c r="C627" s="3"/>
      <c r="D627" s="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6"/>
      <c r="C628" s="3"/>
      <c r="D628" s="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6"/>
      <c r="C629" s="3"/>
      <c r="D629" s="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6"/>
      <c r="C630" s="3"/>
      <c r="D630" s="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6"/>
      <c r="C631" s="3"/>
      <c r="D631" s="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6"/>
      <c r="C632" s="3"/>
      <c r="D632" s="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6"/>
      <c r="C633" s="3"/>
      <c r="D633" s="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6"/>
      <c r="C634" s="3"/>
      <c r="D634" s="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6"/>
      <c r="C635" s="3"/>
      <c r="D635" s="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6"/>
      <c r="C636" s="3"/>
      <c r="D636" s="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6"/>
      <c r="C637" s="3"/>
      <c r="D637" s="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6"/>
      <c r="C638" s="3"/>
      <c r="D638" s="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6"/>
      <c r="C639" s="3"/>
      <c r="D639" s="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6"/>
      <c r="C640" s="3"/>
      <c r="D640" s="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6"/>
      <c r="C641" s="3"/>
      <c r="D641" s="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6"/>
      <c r="C642" s="3"/>
      <c r="D642" s="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6"/>
      <c r="C643" s="3"/>
      <c r="D643" s="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6"/>
      <c r="C644" s="3"/>
      <c r="D644" s="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6"/>
      <c r="C645" s="3"/>
      <c r="D645" s="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6"/>
      <c r="C646" s="3"/>
      <c r="D646" s="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6"/>
      <c r="C647" s="3"/>
      <c r="D647" s="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6"/>
      <c r="C648" s="3"/>
      <c r="D648" s="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6"/>
      <c r="C649" s="3"/>
      <c r="D649" s="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6"/>
      <c r="C650" s="3"/>
      <c r="D650" s="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6"/>
      <c r="C651" s="3"/>
      <c r="D651" s="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6"/>
      <c r="C652" s="3"/>
      <c r="D652" s="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6"/>
      <c r="C653" s="3"/>
      <c r="D653" s="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6"/>
      <c r="C654" s="3"/>
      <c r="D654" s="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6"/>
      <c r="C655" s="3"/>
      <c r="D655" s="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6"/>
      <c r="C656" s="3"/>
      <c r="D656" s="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6"/>
      <c r="C657" s="3"/>
      <c r="D657" s="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6"/>
      <c r="C658" s="3"/>
      <c r="D658" s="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6"/>
      <c r="C659" s="3"/>
      <c r="D659" s="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6"/>
      <c r="C660" s="3"/>
      <c r="D660" s="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6"/>
      <c r="C661" s="3"/>
      <c r="D661" s="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6"/>
      <c r="C662" s="3"/>
      <c r="D662" s="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6"/>
      <c r="C663" s="3"/>
      <c r="D663" s="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6"/>
      <c r="C664" s="3"/>
      <c r="D664" s="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6"/>
      <c r="C665" s="3"/>
      <c r="D665" s="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6"/>
      <c r="C666" s="3"/>
      <c r="D666" s="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6"/>
      <c r="C667" s="3"/>
      <c r="D667" s="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6"/>
      <c r="C668" s="3"/>
      <c r="D668" s="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6"/>
      <c r="C669" s="3"/>
      <c r="D669" s="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6"/>
      <c r="C670" s="3"/>
      <c r="D670" s="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6"/>
      <c r="C671" s="3"/>
      <c r="D671" s="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6"/>
      <c r="C672" s="3"/>
      <c r="D672" s="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6"/>
      <c r="C673" s="3"/>
      <c r="D673" s="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6"/>
      <c r="C674" s="3"/>
      <c r="D674" s="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6"/>
      <c r="C675" s="3"/>
      <c r="D675" s="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6"/>
      <c r="C676" s="3"/>
      <c r="D676" s="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6"/>
      <c r="C677" s="3"/>
      <c r="D677" s="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6"/>
      <c r="C678" s="3"/>
      <c r="D678" s="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6"/>
      <c r="C679" s="3"/>
      <c r="D679" s="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6"/>
      <c r="C680" s="3"/>
      <c r="D680" s="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6"/>
      <c r="C681" s="3"/>
      <c r="D681" s="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6"/>
      <c r="C682" s="3"/>
      <c r="D682" s="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6"/>
      <c r="C683" s="3"/>
      <c r="D683" s="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6"/>
      <c r="C684" s="3"/>
      <c r="D684" s="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6"/>
      <c r="C685" s="3"/>
      <c r="D685" s="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6"/>
      <c r="C686" s="3"/>
      <c r="D686" s="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6"/>
      <c r="C687" s="3"/>
      <c r="D687" s="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6"/>
      <c r="C688" s="3"/>
      <c r="D688" s="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6"/>
      <c r="C689" s="3"/>
      <c r="D689" s="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6"/>
      <c r="C690" s="3"/>
      <c r="D690" s="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6"/>
      <c r="C691" s="3"/>
      <c r="D691" s="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6"/>
      <c r="C692" s="3"/>
      <c r="D692" s="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6"/>
      <c r="C693" s="3"/>
      <c r="D693" s="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6"/>
      <c r="C694" s="3"/>
      <c r="D694" s="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6"/>
      <c r="C695" s="3"/>
      <c r="D695" s="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6"/>
      <c r="C696" s="3"/>
      <c r="D696" s="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6"/>
      <c r="C697" s="3"/>
      <c r="D697" s="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6"/>
      <c r="C698" s="3"/>
      <c r="D698" s="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6"/>
      <c r="C699" s="3"/>
      <c r="D699" s="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6"/>
      <c r="C700" s="3"/>
      <c r="D700" s="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6"/>
      <c r="C701" s="3"/>
      <c r="D701" s="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6"/>
      <c r="C702" s="3"/>
      <c r="D702" s="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6"/>
      <c r="C703" s="3"/>
      <c r="D703" s="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6"/>
      <c r="C704" s="3"/>
      <c r="D704" s="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6"/>
      <c r="C705" s="3"/>
      <c r="D705" s="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6"/>
      <c r="C706" s="3"/>
      <c r="D706" s="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6"/>
      <c r="C707" s="3"/>
      <c r="D707" s="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6"/>
      <c r="C708" s="3"/>
      <c r="D708" s="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6"/>
      <c r="C709" s="3"/>
      <c r="D709" s="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6"/>
      <c r="C710" s="3"/>
      <c r="D710" s="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6"/>
      <c r="C711" s="3"/>
      <c r="D711" s="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6"/>
      <c r="C712" s="3"/>
      <c r="D712" s="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6"/>
      <c r="C713" s="3"/>
      <c r="D713" s="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6"/>
      <c r="C714" s="3"/>
      <c r="D714" s="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6"/>
      <c r="C715" s="3"/>
      <c r="D715" s="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6"/>
      <c r="C716" s="3"/>
      <c r="D716" s="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6"/>
      <c r="C717" s="3"/>
      <c r="D717" s="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6"/>
      <c r="C718" s="3"/>
      <c r="D718" s="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6"/>
      <c r="C719" s="3"/>
      <c r="D719" s="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6"/>
      <c r="C720" s="3"/>
      <c r="D720" s="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6"/>
      <c r="C721" s="3"/>
      <c r="D721" s="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6"/>
      <c r="C722" s="3"/>
      <c r="D722" s="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6"/>
      <c r="C723" s="3"/>
      <c r="D723" s="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6"/>
      <c r="C724" s="3"/>
      <c r="D724" s="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6"/>
      <c r="C725" s="3"/>
      <c r="D725" s="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6"/>
      <c r="C726" s="3"/>
      <c r="D726" s="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6"/>
      <c r="C727" s="3"/>
      <c r="D727" s="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6"/>
      <c r="C728" s="3"/>
      <c r="D728" s="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6"/>
      <c r="C729" s="3"/>
      <c r="D729" s="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6"/>
      <c r="C730" s="3"/>
      <c r="D730" s="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6"/>
      <c r="C731" s="3"/>
      <c r="D731" s="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6"/>
      <c r="C732" s="3"/>
      <c r="D732" s="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6"/>
      <c r="C733" s="3"/>
      <c r="D733" s="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6"/>
      <c r="C734" s="3"/>
      <c r="D734" s="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6"/>
      <c r="C735" s="3"/>
      <c r="D735" s="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6"/>
      <c r="C736" s="3"/>
      <c r="D736" s="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6"/>
      <c r="C737" s="3"/>
      <c r="D737" s="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6"/>
      <c r="C738" s="3"/>
      <c r="D738" s="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6"/>
      <c r="C739" s="3"/>
      <c r="D739" s="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6"/>
      <c r="C740" s="3"/>
      <c r="D740" s="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6"/>
      <c r="C741" s="3"/>
      <c r="D741" s="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6"/>
      <c r="C742" s="3"/>
      <c r="D742" s="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6"/>
      <c r="C743" s="3"/>
      <c r="D743" s="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6"/>
      <c r="C744" s="3"/>
      <c r="D744" s="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6"/>
      <c r="C745" s="3"/>
      <c r="D745" s="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6"/>
      <c r="C746" s="3"/>
      <c r="D746" s="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6"/>
      <c r="C747" s="3"/>
      <c r="D747" s="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6"/>
      <c r="C748" s="3"/>
      <c r="D748" s="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6"/>
      <c r="C749" s="3"/>
      <c r="D749" s="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6"/>
      <c r="C750" s="3"/>
      <c r="D750" s="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6"/>
      <c r="C751" s="3"/>
      <c r="D751" s="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6"/>
      <c r="C752" s="3"/>
      <c r="D752" s="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6"/>
      <c r="C753" s="3"/>
      <c r="D753" s="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6"/>
      <c r="C754" s="3"/>
      <c r="D754" s="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6"/>
      <c r="C755" s="3"/>
      <c r="D755" s="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6"/>
      <c r="C756" s="3"/>
      <c r="D756" s="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6"/>
      <c r="C757" s="3"/>
      <c r="D757" s="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6"/>
      <c r="C758" s="3"/>
      <c r="D758" s="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6"/>
      <c r="C759" s="3"/>
      <c r="D759" s="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6"/>
      <c r="C760" s="3"/>
      <c r="D760" s="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6"/>
      <c r="C761" s="3"/>
      <c r="D761" s="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6"/>
      <c r="C762" s="3"/>
      <c r="D762" s="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6"/>
      <c r="C763" s="3"/>
      <c r="D763" s="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6"/>
      <c r="C764" s="3"/>
      <c r="D764" s="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6"/>
      <c r="C765" s="3"/>
      <c r="D765" s="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6"/>
      <c r="C766" s="3"/>
      <c r="D766" s="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6"/>
      <c r="C767" s="3"/>
      <c r="D767" s="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6"/>
      <c r="C768" s="3"/>
      <c r="D768" s="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6"/>
      <c r="C769" s="3"/>
      <c r="D769" s="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6"/>
      <c r="C770" s="3"/>
      <c r="D770" s="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6"/>
      <c r="C771" s="3"/>
      <c r="D771" s="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6"/>
      <c r="C772" s="3"/>
      <c r="D772" s="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6"/>
      <c r="C773" s="3"/>
      <c r="D773" s="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6"/>
      <c r="C774" s="3"/>
      <c r="D774" s="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6"/>
      <c r="C775" s="3"/>
      <c r="D775" s="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6"/>
      <c r="C776" s="3"/>
      <c r="D776" s="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6"/>
      <c r="C777" s="3"/>
      <c r="D777" s="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6"/>
      <c r="C778" s="3"/>
      <c r="D778" s="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6"/>
      <c r="C779" s="3"/>
      <c r="D779" s="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6"/>
      <c r="C780" s="3"/>
      <c r="D780" s="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6"/>
      <c r="C781" s="3"/>
      <c r="D781" s="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6"/>
      <c r="C782" s="3"/>
      <c r="D782" s="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6"/>
      <c r="C783" s="3"/>
      <c r="D783" s="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6"/>
      <c r="C784" s="3"/>
      <c r="D784" s="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6"/>
      <c r="C785" s="3"/>
      <c r="D785" s="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6"/>
      <c r="C786" s="3"/>
      <c r="D786" s="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6"/>
      <c r="C787" s="3"/>
      <c r="D787" s="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6"/>
      <c r="C788" s="3"/>
      <c r="D788" s="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6"/>
      <c r="C789" s="3"/>
      <c r="D789" s="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6"/>
      <c r="C790" s="3"/>
      <c r="D790" s="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6"/>
      <c r="C791" s="3"/>
      <c r="D791" s="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6"/>
      <c r="C792" s="3"/>
      <c r="D792" s="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6"/>
      <c r="C793" s="3"/>
      <c r="D793" s="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6"/>
      <c r="C794" s="3"/>
      <c r="D794" s="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6"/>
      <c r="C795" s="3"/>
      <c r="D795" s="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6"/>
      <c r="C796" s="3"/>
      <c r="D796" s="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6"/>
      <c r="C797" s="3"/>
      <c r="D797" s="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6"/>
      <c r="C798" s="3"/>
      <c r="D798" s="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6"/>
      <c r="C799" s="3"/>
      <c r="D799" s="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6"/>
      <c r="C800" s="3"/>
      <c r="D800" s="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6"/>
      <c r="C801" s="3"/>
      <c r="D801" s="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6"/>
      <c r="C802" s="3"/>
      <c r="D802" s="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6"/>
      <c r="C803" s="3"/>
      <c r="D803" s="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6"/>
      <c r="C804" s="3"/>
      <c r="D804" s="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6"/>
      <c r="C805" s="3"/>
      <c r="D805" s="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6"/>
      <c r="C806" s="3"/>
      <c r="D806" s="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6"/>
      <c r="C807" s="3"/>
      <c r="D807" s="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6"/>
      <c r="C808" s="3"/>
      <c r="D808" s="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6"/>
      <c r="C809" s="3"/>
      <c r="D809" s="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6"/>
      <c r="C810" s="3"/>
      <c r="D810" s="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6"/>
      <c r="C811" s="3"/>
      <c r="D811" s="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6"/>
      <c r="C812" s="3"/>
      <c r="D812" s="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6"/>
      <c r="C813" s="3"/>
      <c r="D813" s="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6"/>
      <c r="C814" s="3"/>
      <c r="D814" s="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6"/>
      <c r="C815" s="3"/>
      <c r="D815" s="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6"/>
      <c r="C816" s="3"/>
      <c r="D816" s="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6"/>
      <c r="C817" s="3"/>
      <c r="D817" s="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6"/>
      <c r="C818" s="3"/>
      <c r="D818" s="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6"/>
      <c r="C819" s="3"/>
      <c r="D819" s="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6"/>
      <c r="C820" s="3"/>
      <c r="D820" s="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6"/>
      <c r="C821" s="3"/>
      <c r="D821" s="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6"/>
      <c r="C822" s="3"/>
      <c r="D822" s="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6"/>
      <c r="C823" s="3"/>
      <c r="D823" s="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6"/>
      <c r="C824" s="3"/>
      <c r="D824" s="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6"/>
      <c r="C825" s="3"/>
      <c r="D825" s="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6"/>
      <c r="C826" s="3"/>
      <c r="D826" s="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6"/>
      <c r="C827" s="3"/>
      <c r="D827" s="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6"/>
      <c r="C828" s="3"/>
      <c r="D828" s="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6"/>
      <c r="C829" s="3"/>
      <c r="D829" s="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6"/>
      <c r="C830" s="3"/>
      <c r="D830" s="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6"/>
      <c r="C831" s="3"/>
      <c r="D831" s="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6"/>
      <c r="C832" s="3"/>
      <c r="D832" s="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6"/>
      <c r="C833" s="3"/>
      <c r="D833" s="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6"/>
      <c r="C834" s="3"/>
      <c r="D834" s="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6"/>
      <c r="C835" s="3"/>
      <c r="D835" s="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6"/>
      <c r="C836" s="3"/>
      <c r="D836" s="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6"/>
      <c r="C837" s="3"/>
      <c r="D837" s="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6"/>
      <c r="C838" s="3"/>
      <c r="D838" s="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6"/>
      <c r="C839" s="3"/>
      <c r="D839" s="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6"/>
      <c r="C840" s="3"/>
      <c r="D840" s="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6"/>
      <c r="C841" s="3"/>
      <c r="D841" s="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6"/>
      <c r="C842" s="3"/>
      <c r="D842" s="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6"/>
      <c r="C843" s="3"/>
      <c r="D843" s="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6"/>
      <c r="C844" s="3"/>
      <c r="D844" s="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6"/>
      <c r="C845" s="3"/>
      <c r="D845" s="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6"/>
      <c r="C846" s="3"/>
      <c r="D846" s="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6"/>
      <c r="C847" s="3"/>
      <c r="D847" s="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6"/>
      <c r="C848" s="3"/>
      <c r="D848" s="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6"/>
      <c r="C849" s="3"/>
      <c r="D849" s="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6"/>
      <c r="C850" s="3"/>
      <c r="D850" s="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6"/>
      <c r="C851" s="3"/>
      <c r="D851" s="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6"/>
      <c r="C852" s="3"/>
      <c r="D852" s="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6"/>
      <c r="C853" s="3"/>
      <c r="D853" s="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6"/>
      <c r="C854" s="3"/>
      <c r="D854" s="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6"/>
      <c r="C855" s="3"/>
      <c r="D855" s="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6"/>
      <c r="C856" s="3"/>
      <c r="D856" s="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6"/>
      <c r="C857" s="3"/>
      <c r="D857" s="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6"/>
      <c r="C858" s="3"/>
      <c r="D858" s="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6"/>
      <c r="C859" s="3"/>
      <c r="D859" s="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6"/>
      <c r="C860" s="3"/>
      <c r="D860" s="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6"/>
      <c r="C861" s="3"/>
      <c r="D861" s="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6"/>
      <c r="C862" s="3"/>
      <c r="D862" s="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6"/>
      <c r="C863" s="3"/>
      <c r="D863" s="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6"/>
      <c r="C864" s="3"/>
      <c r="D864" s="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6"/>
      <c r="C865" s="3"/>
      <c r="D865" s="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6"/>
      <c r="C866" s="3"/>
      <c r="D866" s="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6"/>
      <c r="C867" s="3"/>
      <c r="D867" s="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6"/>
      <c r="C868" s="3"/>
      <c r="D868" s="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6"/>
      <c r="C869" s="3"/>
      <c r="D869" s="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6"/>
      <c r="C870" s="3"/>
      <c r="D870" s="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6"/>
      <c r="C871" s="3"/>
      <c r="D871" s="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6"/>
      <c r="C872" s="3"/>
      <c r="D872" s="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6"/>
      <c r="C873" s="3"/>
      <c r="D873" s="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6"/>
      <c r="C874" s="3"/>
      <c r="D874" s="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6"/>
      <c r="C875" s="3"/>
      <c r="D875" s="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6"/>
      <c r="C876" s="3"/>
      <c r="D876" s="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6"/>
      <c r="C877" s="3"/>
      <c r="D877" s="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6"/>
      <c r="C878" s="3"/>
      <c r="D878" s="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6"/>
      <c r="C879" s="3"/>
      <c r="D879" s="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6"/>
      <c r="C880" s="3"/>
      <c r="D880" s="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6"/>
      <c r="C881" s="3"/>
      <c r="D881" s="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6"/>
      <c r="C882" s="3"/>
      <c r="D882" s="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6"/>
      <c r="C883" s="3"/>
      <c r="D883" s="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6"/>
      <c r="C884" s="3"/>
      <c r="D884" s="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6"/>
      <c r="C885" s="3"/>
      <c r="D885" s="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6"/>
      <c r="C886" s="3"/>
      <c r="D886" s="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6"/>
      <c r="C887" s="3"/>
      <c r="D887" s="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6"/>
      <c r="C888" s="3"/>
      <c r="D888" s="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6"/>
      <c r="C889" s="3"/>
      <c r="D889" s="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6"/>
      <c r="C890" s="3"/>
      <c r="D890" s="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6"/>
      <c r="C891" s="3"/>
      <c r="D891" s="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6"/>
      <c r="C892" s="3"/>
      <c r="D892" s="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6"/>
      <c r="C893" s="3"/>
      <c r="D893" s="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6"/>
      <c r="C894" s="3"/>
      <c r="D894" s="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6"/>
      <c r="C895" s="3"/>
      <c r="D895" s="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6"/>
      <c r="C896" s="3"/>
      <c r="D896" s="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6"/>
      <c r="C897" s="3"/>
      <c r="D897" s="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6"/>
      <c r="C898" s="3"/>
      <c r="D898" s="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6"/>
      <c r="C899" s="3"/>
      <c r="D899" s="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6"/>
      <c r="C900" s="3"/>
      <c r="D900" s="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6"/>
      <c r="C901" s="3"/>
      <c r="D901" s="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6"/>
      <c r="C902" s="3"/>
      <c r="D902" s="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6"/>
      <c r="C903" s="3"/>
      <c r="D903" s="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6"/>
      <c r="C904" s="3"/>
      <c r="D904" s="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6"/>
      <c r="C905" s="3"/>
      <c r="D905" s="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6"/>
      <c r="C906" s="3"/>
      <c r="D906" s="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6"/>
      <c r="C907" s="3"/>
      <c r="D907" s="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6"/>
      <c r="C908" s="3"/>
      <c r="D908" s="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6"/>
      <c r="C909" s="3"/>
      <c r="D909" s="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6"/>
      <c r="C910" s="3"/>
      <c r="D910" s="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6"/>
      <c r="C911" s="3"/>
      <c r="D911" s="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6"/>
      <c r="C912" s="3"/>
      <c r="D912" s="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6"/>
      <c r="C913" s="3"/>
      <c r="D913" s="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6"/>
      <c r="C914" s="3"/>
      <c r="D914" s="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6"/>
      <c r="C915" s="3"/>
      <c r="D915" s="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6"/>
      <c r="C916" s="3"/>
      <c r="D916" s="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6"/>
      <c r="C917" s="3"/>
      <c r="D917" s="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6"/>
      <c r="C918" s="3"/>
      <c r="D918" s="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6"/>
      <c r="C919" s="3"/>
      <c r="D919" s="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6"/>
      <c r="C920" s="3"/>
      <c r="D920" s="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6"/>
      <c r="C921" s="3"/>
      <c r="D921" s="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6"/>
      <c r="C922" s="3"/>
      <c r="D922" s="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6"/>
      <c r="C923" s="3"/>
      <c r="D923" s="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6"/>
      <c r="C924" s="3"/>
      <c r="D924" s="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6"/>
      <c r="C925" s="3"/>
      <c r="D925" s="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6"/>
      <c r="C926" s="3"/>
      <c r="D926" s="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6"/>
      <c r="C927" s="3"/>
      <c r="D927" s="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6"/>
      <c r="C928" s="3"/>
      <c r="D928" s="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6"/>
      <c r="C929" s="3"/>
      <c r="D929" s="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6"/>
      <c r="C930" s="3"/>
      <c r="D930" s="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6"/>
      <c r="C931" s="3"/>
      <c r="D931" s="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6"/>
      <c r="C932" s="3"/>
      <c r="D932" s="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6"/>
      <c r="C933" s="3"/>
      <c r="D933" s="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6"/>
      <c r="C934" s="3"/>
      <c r="D934" s="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6"/>
      <c r="C935" s="3"/>
      <c r="D935" s="7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6"/>
      <c r="C936" s="3"/>
      <c r="D936" s="7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6"/>
      <c r="C937" s="3"/>
      <c r="D937" s="7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6"/>
      <c r="C938" s="3"/>
      <c r="D938" s="7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6"/>
      <c r="C939" s="3"/>
      <c r="D939" s="7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6"/>
      <c r="C940" s="3"/>
      <c r="D940" s="7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6"/>
      <c r="C941" s="3"/>
      <c r="D941" s="7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6"/>
      <c r="C942" s="3"/>
      <c r="D942" s="7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6"/>
      <c r="C943" s="3"/>
      <c r="D943" s="7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6"/>
      <c r="C944" s="3"/>
      <c r="D944" s="7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6"/>
      <c r="C945" s="3"/>
      <c r="D945" s="7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6"/>
      <c r="C946" s="3"/>
      <c r="D946" s="7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6"/>
      <c r="C947" s="3"/>
      <c r="D947" s="7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6"/>
      <c r="C948" s="3"/>
      <c r="D948" s="7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6"/>
      <c r="C949" s="3"/>
      <c r="D949" s="7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6"/>
      <c r="C950" s="3"/>
      <c r="D950" s="7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6"/>
      <c r="C951" s="3"/>
      <c r="D951" s="7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6"/>
      <c r="C952" s="3"/>
      <c r="D952" s="7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6"/>
      <c r="C953" s="3"/>
      <c r="D953" s="7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6"/>
      <c r="C954" s="3"/>
      <c r="D954" s="7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6"/>
      <c r="C955" s="3"/>
      <c r="D955" s="7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6"/>
      <c r="C956" s="3"/>
      <c r="D956" s="7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6"/>
      <c r="C957" s="3"/>
      <c r="D957" s="7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6"/>
      <c r="C958" s="3"/>
      <c r="D958" s="7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6"/>
      <c r="C959" s="3"/>
      <c r="D959" s="7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6"/>
      <c r="C960" s="3"/>
      <c r="D960" s="7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6"/>
      <c r="C961" s="3"/>
      <c r="D961" s="7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6"/>
      <c r="C962" s="3"/>
      <c r="D962" s="7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6"/>
      <c r="C963" s="3"/>
      <c r="D963" s="7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6"/>
      <c r="C964" s="3"/>
      <c r="D964" s="7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6"/>
      <c r="C965" s="3"/>
      <c r="D965" s="7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6"/>
      <c r="C966" s="3"/>
      <c r="D966" s="7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6"/>
      <c r="C967" s="3"/>
      <c r="D967" s="7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6"/>
      <c r="C968" s="3"/>
      <c r="D968" s="7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6"/>
      <c r="C969" s="3"/>
      <c r="D969" s="7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6"/>
      <c r="C970" s="3"/>
      <c r="D970" s="7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6"/>
      <c r="C971" s="3"/>
      <c r="D971" s="7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6"/>
      <c r="C972" s="3"/>
      <c r="D972" s="7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6"/>
      <c r="C973" s="3"/>
      <c r="D973" s="7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6"/>
      <c r="C974" s="3"/>
      <c r="D974" s="7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6"/>
      <c r="C975" s="3"/>
      <c r="D975" s="7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6"/>
      <c r="C976" s="3"/>
      <c r="D976" s="7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6"/>
      <c r="C977" s="3"/>
      <c r="D977" s="7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6"/>
      <c r="C978" s="3"/>
      <c r="D978" s="7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6"/>
      <c r="C979" s="3"/>
      <c r="D979" s="7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6"/>
      <c r="C980" s="3"/>
      <c r="D980" s="7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6"/>
      <c r="C981" s="3"/>
      <c r="D981" s="7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6"/>
      <c r="C982" s="3"/>
      <c r="D982" s="7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6"/>
      <c r="C983" s="3"/>
      <c r="D983" s="7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6"/>
      <c r="C984" s="3"/>
      <c r="D984" s="7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6"/>
      <c r="C985" s="3"/>
      <c r="D985" s="7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6"/>
      <c r="C986" s="3"/>
      <c r="D986" s="7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6"/>
      <c r="C987" s="3"/>
      <c r="D987" s="7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6"/>
      <c r="C988" s="3"/>
      <c r="D988" s="7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6"/>
      <c r="C989" s="3"/>
      <c r="D989" s="7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6"/>
      <c r="C990" s="3"/>
      <c r="D990" s="7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6"/>
      <c r="C991" s="3"/>
      <c r="D991" s="7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6"/>
      <c r="C992" s="3"/>
      <c r="D992" s="7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6"/>
      <c r="C993" s="3"/>
      <c r="D993" s="7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6"/>
      <c r="C994" s="3"/>
      <c r="D994" s="7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6"/>
      <c r="C995" s="3"/>
      <c r="D995" s="7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6"/>
      <c r="C996" s="3"/>
      <c r="D996" s="7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6"/>
      <c r="C997" s="3"/>
      <c r="D997" s="7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6"/>
      <c r="C998" s="3"/>
      <c r="D998" s="7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6"/>
      <c r="C999" s="3"/>
      <c r="D999" s="7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6"/>
      <c r="C1000" s="3"/>
      <c r="D1000" s="7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6"/>
      <c r="C1001" s="3"/>
      <c r="D1001" s="7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6"/>
      <c r="C1002" s="3"/>
      <c r="D1002" s="7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6"/>
      <c r="C1003" s="3"/>
      <c r="D1003" s="7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6"/>
      <c r="C1004" s="3"/>
      <c r="D1004" s="7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6"/>
      <c r="C1005" s="3"/>
      <c r="D1005" s="7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13">
    <mergeCell ref="C19:D19"/>
    <mergeCell ref="C20:D20"/>
    <mergeCell ref="C21:D21"/>
    <mergeCell ref="C22:D22"/>
    <mergeCell ref="C23:D23"/>
    <mergeCell ref="C26:D26"/>
    <mergeCell ref="A9:D9"/>
    <mergeCell ref="C11:D11"/>
    <mergeCell ref="C12:D12"/>
    <mergeCell ref="C16:D16"/>
    <mergeCell ref="C17:D17"/>
    <mergeCell ref="C18:D18"/>
    <mergeCell ref="B1:D1"/>
  </mergeCells>
  <printOptions/>
  <pageMargins bottom="0.75" footer="0.0" header="0.0" left="0.7" right="0.7" top="0.75"/>
  <pageSetup paperSize="9" scale="6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14"/>
    <col customWidth="1" min="3" max="3" width="9.71"/>
    <col customWidth="1" min="4" max="4" width="14.57"/>
    <col customWidth="1" min="5" max="26" width="8.71"/>
  </cols>
  <sheetData>
    <row r="1" ht="14.25" customHeight="1">
      <c r="A1" s="70" t="s">
        <v>76</v>
      </c>
      <c r="B1" s="70" t="s">
        <v>77</v>
      </c>
      <c r="C1" s="70" t="s">
        <v>78</v>
      </c>
      <c r="D1" s="70" t="s">
        <v>79</v>
      </c>
    </row>
    <row r="2" ht="14.25" customHeight="1">
      <c r="A2" s="71" t="s">
        <v>80</v>
      </c>
      <c r="B2" s="71" t="s">
        <v>81</v>
      </c>
      <c r="C2" s="71">
        <v>1.0</v>
      </c>
      <c r="D2" s="71"/>
    </row>
    <row r="3" ht="14.25" customHeight="1">
      <c r="A3" s="71"/>
      <c r="B3" s="71" t="s">
        <v>81</v>
      </c>
      <c r="C3" s="71">
        <v>1.0</v>
      </c>
      <c r="D3" s="71"/>
    </row>
    <row r="4" ht="14.25" customHeight="1">
      <c r="A4" s="71"/>
      <c r="B4" s="71" t="s">
        <v>81</v>
      </c>
      <c r="C4" s="71"/>
      <c r="D4" s="71">
        <v>1.0</v>
      </c>
    </row>
    <row r="5" ht="14.25" customHeight="1">
      <c r="A5" s="71"/>
      <c r="B5" s="71" t="s">
        <v>81</v>
      </c>
      <c r="C5" s="71">
        <v>1.0</v>
      </c>
      <c r="D5" s="71"/>
    </row>
    <row r="6" ht="14.25" customHeight="1">
      <c r="A6" s="71"/>
      <c r="B6" s="71" t="s">
        <v>82</v>
      </c>
      <c r="C6" s="71">
        <f t="shared" ref="C6:D6" si="1">SUM(C2:C5)</f>
        <v>3</v>
      </c>
      <c r="D6" s="71">
        <f t="shared" si="1"/>
        <v>1</v>
      </c>
    </row>
    <row r="7" ht="14.25" customHeight="1">
      <c r="A7" s="71"/>
      <c r="B7" s="71"/>
      <c r="C7" s="72">
        <f>C6/(C6+D6)</f>
        <v>0.75</v>
      </c>
      <c r="D7" s="72">
        <f>D6/(C6+D6)</f>
        <v>0.25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K25" s="3"/>
      <c r="L25" s="3"/>
    </row>
    <row r="26" ht="14.25" customHeight="1">
      <c r="K26" s="3"/>
      <c r="L26" s="3"/>
    </row>
    <row r="27" ht="14.25" customHeight="1">
      <c r="K27" s="22"/>
      <c r="L27" s="22"/>
    </row>
    <row r="28" ht="14.25" customHeight="1">
      <c r="K28" s="3"/>
      <c r="L28" s="3"/>
    </row>
    <row r="29" ht="14.25" customHeight="1">
      <c r="K29" s="28"/>
      <c r="L29" s="28"/>
    </row>
    <row r="30" ht="14.25" customHeight="1">
      <c r="K30" s="3"/>
      <c r="L30" s="3"/>
    </row>
    <row r="31" ht="14.25" customHeight="1">
      <c r="K31" s="3"/>
      <c r="L31" s="3"/>
    </row>
    <row r="32" ht="14.25" customHeight="1">
      <c r="K32" s="22"/>
      <c r="L32" s="22"/>
    </row>
    <row r="33" ht="14.25" customHeight="1">
      <c r="K33" s="22"/>
      <c r="L33" s="22"/>
    </row>
    <row r="34" ht="14.25" customHeight="1">
      <c r="K34" s="3"/>
      <c r="L34" s="3"/>
    </row>
    <row r="35" ht="14.25" customHeight="1">
      <c r="K35" s="22"/>
      <c r="L35" s="22"/>
    </row>
    <row r="36" ht="14.25" customHeight="1">
      <c r="K36" s="3"/>
      <c r="L36" s="3"/>
    </row>
    <row r="37" ht="14.25" customHeight="1">
      <c r="K37" s="3"/>
      <c r="L37" s="3"/>
    </row>
    <row r="38" ht="14.25" customHeight="1">
      <c r="K38" s="3"/>
      <c r="L38" s="3"/>
    </row>
    <row r="39" ht="14.25" customHeight="1">
      <c r="K39" s="22"/>
      <c r="L39" s="22"/>
    </row>
    <row r="40" ht="14.25" customHeight="1">
      <c r="K40" s="22"/>
      <c r="L40" s="22"/>
    </row>
    <row r="41" ht="14.25" customHeight="1">
      <c r="K41" s="22"/>
      <c r="L41" s="22"/>
    </row>
    <row r="42" ht="14.25" customHeight="1">
      <c r="K42" s="22"/>
      <c r="L42" s="22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42.0"/>
    <col customWidth="1" min="3" max="3" width="19.43"/>
    <col customWidth="1" min="4" max="4" width="8.71"/>
    <col customWidth="1" min="5" max="5" width="18.43"/>
    <col customWidth="1" min="6" max="6" width="23.86"/>
    <col customWidth="1" min="7" max="7" width="14.57"/>
    <col customWidth="1" min="8" max="26" width="8.71"/>
  </cols>
  <sheetData>
    <row r="1" ht="14.25" customHeight="1">
      <c r="A1" s="73" t="s">
        <v>83</v>
      </c>
    </row>
    <row r="2" ht="14.25" customHeight="1"/>
    <row r="3" ht="14.25" customHeight="1">
      <c r="A3" s="71" t="s">
        <v>84</v>
      </c>
      <c r="B3" s="71" t="s">
        <v>49</v>
      </c>
      <c r="C3" s="74" t="s">
        <v>85</v>
      </c>
      <c r="D3" s="74" t="s">
        <v>86</v>
      </c>
      <c r="E3" s="74" t="s">
        <v>87</v>
      </c>
    </row>
    <row r="4" ht="14.25" customHeight="1">
      <c r="A4" s="75" t="s">
        <v>88</v>
      </c>
      <c r="B4" s="76" t="s">
        <v>89</v>
      </c>
      <c r="C4" s="76"/>
      <c r="D4" s="76"/>
      <c r="E4" s="76"/>
    </row>
    <row r="5" ht="14.25" customHeight="1">
      <c r="A5" s="77"/>
      <c r="B5" s="78" t="str">
        <f>Sheet1!D65</f>
        <v/>
      </c>
      <c r="C5" s="79">
        <f>1500000*200</f>
        <v>300000000</v>
      </c>
      <c r="D5" s="80">
        <v>0.75</v>
      </c>
      <c r="E5" s="79">
        <f t="shared" ref="E5:E8" si="1">C5*D5</f>
        <v>225000000</v>
      </c>
      <c r="F5" s="81"/>
      <c r="G5" s="81"/>
    </row>
    <row r="6" ht="14.25" customHeight="1">
      <c r="A6" s="77"/>
      <c r="B6" s="78" t="s">
        <v>90</v>
      </c>
      <c r="C6" s="79">
        <v>4.65E8</v>
      </c>
      <c r="D6" s="80">
        <v>0.4</v>
      </c>
      <c r="E6" s="79">
        <f t="shared" si="1"/>
        <v>186000000</v>
      </c>
      <c r="F6" s="81"/>
    </row>
    <row r="7" ht="14.25" customHeight="1">
      <c r="A7" s="77"/>
      <c r="B7" s="78" t="s">
        <v>91</v>
      </c>
      <c r="C7" s="79">
        <f>300000000*70%</f>
        <v>210000000</v>
      </c>
      <c r="D7" s="80">
        <v>1.0</v>
      </c>
      <c r="E7" s="79">
        <f t="shared" si="1"/>
        <v>210000000</v>
      </c>
      <c r="F7" s="81"/>
    </row>
    <row r="8" ht="14.25" customHeight="1">
      <c r="A8" s="77"/>
      <c r="B8" s="78" t="s">
        <v>92</v>
      </c>
      <c r="C8" s="79"/>
      <c r="D8" s="80">
        <v>1.0</v>
      </c>
      <c r="E8" s="79">
        <f t="shared" si="1"/>
        <v>0</v>
      </c>
      <c r="F8" s="82"/>
      <c r="G8" s="73"/>
    </row>
    <row r="9" ht="14.25" customHeight="1">
      <c r="A9" s="77"/>
      <c r="B9" s="71" t="s">
        <v>93</v>
      </c>
      <c r="C9" s="83" t="str">
        <f>(C5+C7+C8+C6)/Sheet1!D25</f>
        <v>#DIV/0!</v>
      </c>
      <c r="D9" s="83"/>
      <c r="E9" s="83" t="str">
        <f>(E5+E6+E7)/Sheet1!D25</f>
        <v>#DIV/0!</v>
      </c>
      <c r="G9" s="82"/>
    </row>
    <row r="10" ht="14.25" hidden="1" customHeight="1">
      <c r="A10" s="77"/>
      <c r="B10" s="71" t="s">
        <v>94</v>
      </c>
      <c r="C10" s="83"/>
      <c r="D10" s="83"/>
      <c r="E10" s="83"/>
    </row>
    <row r="11" ht="14.25" customHeight="1">
      <c r="A11" s="84"/>
      <c r="B11" s="71"/>
      <c r="C11" s="71"/>
      <c r="D11" s="71"/>
      <c r="E11" s="71"/>
    </row>
    <row r="12" ht="14.25" customHeight="1">
      <c r="A12" s="75" t="s">
        <v>95</v>
      </c>
      <c r="B12" s="76" t="s">
        <v>96</v>
      </c>
      <c r="C12" s="76"/>
      <c r="D12" s="76"/>
      <c r="E12" s="76"/>
    </row>
    <row r="13" ht="14.25" customHeight="1">
      <c r="A13" s="77"/>
      <c r="B13" s="71" t="s">
        <v>97</v>
      </c>
      <c r="C13" s="85">
        <v>0.0</v>
      </c>
      <c r="D13" s="72">
        <v>0.5</v>
      </c>
      <c r="E13" s="85">
        <f>C13*D13</f>
        <v>0</v>
      </c>
    </row>
    <row r="14" ht="14.25" customHeight="1">
      <c r="A14" s="77"/>
      <c r="B14" s="71" t="s">
        <v>93</v>
      </c>
      <c r="C14" s="83" t="str">
        <f>C13/[1]Sheet1!$D$18</f>
        <v>#ERROR!</v>
      </c>
      <c r="D14" s="83"/>
      <c r="E14" s="83" t="str">
        <f>E13/[1]Sheet1!$D$18</f>
        <v>#ERROR!</v>
      </c>
    </row>
    <row r="15" ht="14.25" customHeight="1">
      <c r="A15" s="77"/>
      <c r="B15" s="71" t="s">
        <v>94</v>
      </c>
      <c r="C15" s="83" t="str">
        <f>C13/[1]Sheet1!$D$18</f>
        <v>#ERROR!</v>
      </c>
      <c r="D15" s="83"/>
      <c r="E15" s="83" t="str">
        <f>E13/[1]Sheet1!$D$18</f>
        <v>#ERROR!</v>
      </c>
    </row>
    <row r="16" ht="14.25" customHeight="1">
      <c r="A16" s="77"/>
      <c r="B16" s="71"/>
      <c r="C16" s="71"/>
      <c r="D16" s="71"/>
      <c r="E16" s="71"/>
    </row>
    <row r="17" ht="14.25" customHeight="1">
      <c r="A17" s="77"/>
      <c r="B17" s="71" t="s">
        <v>98</v>
      </c>
      <c r="C17" s="86">
        <f>C5+C13+C7+C8</f>
        <v>510000000</v>
      </c>
      <c r="D17" s="71"/>
      <c r="E17" s="86">
        <f>E5+E7+E8</f>
        <v>435000000</v>
      </c>
    </row>
    <row r="18" ht="14.25" customHeight="1">
      <c r="A18" s="77"/>
      <c r="B18" s="71" t="s">
        <v>93</v>
      </c>
      <c r="C18" s="83" t="str">
        <f>C17/Sheet1!D24</f>
        <v>#DIV/0!</v>
      </c>
      <c r="D18" s="83"/>
      <c r="E18" s="83" t="str">
        <f>(E5+E7+E8)/Sheet1!D24</f>
        <v>#DIV/0!</v>
      </c>
    </row>
    <row r="19" ht="14.25" customHeight="1">
      <c r="A19" s="84"/>
      <c r="B19" s="71" t="s">
        <v>94</v>
      </c>
      <c r="C19" s="83"/>
      <c r="D19" s="83"/>
      <c r="E19" s="83"/>
    </row>
    <row r="20" ht="14.25" customHeight="1"/>
    <row r="21" ht="14.25" customHeight="1">
      <c r="B21" s="73" t="s">
        <v>99</v>
      </c>
      <c r="C21" s="73" t="s">
        <v>100</v>
      </c>
      <c r="E21" s="73" t="s">
        <v>101</v>
      </c>
    </row>
    <row r="22" ht="14.25" customHeight="1">
      <c r="B22" s="73" t="s">
        <v>102</v>
      </c>
      <c r="C22" s="81">
        <v>625000.0</v>
      </c>
      <c r="E22" s="81">
        <v>375000.0</v>
      </c>
    </row>
    <row r="23" ht="14.25" customHeight="1">
      <c r="B23" s="73" t="s">
        <v>103</v>
      </c>
      <c r="C23" s="73">
        <f>C22/500000</f>
        <v>1.25</v>
      </c>
      <c r="E23" s="82">
        <f>E22/300000</f>
        <v>1.25</v>
      </c>
    </row>
    <row r="24" ht="14.25" customHeight="1">
      <c r="B24" s="73" t="s">
        <v>104</v>
      </c>
      <c r="C24" s="81">
        <v>844104.0</v>
      </c>
      <c r="E24" s="81">
        <v>530963.0</v>
      </c>
      <c r="F24" s="81"/>
    </row>
    <row r="25" ht="14.25" customHeight="1">
      <c r="B25" s="73" t="s">
        <v>103</v>
      </c>
      <c r="C25" s="82">
        <f>C24/500000</f>
        <v>1.688208</v>
      </c>
      <c r="E25" s="82">
        <f>E24/300000</f>
        <v>1.769876667</v>
      </c>
      <c r="F25" s="81"/>
    </row>
    <row r="26" ht="14.25" customHeight="1">
      <c r="B26" s="73" t="s">
        <v>105</v>
      </c>
      <c r="C26" s="73">
        <v>0.0</v>
      </c>
      <c r="E26" s="81">
        <v>623997.0</v>
      </c>
    </row>
    <row r="27" ht="14.25" customHeight="1">
      <c r="B27" s="73" t="s">
        <v>103</v>
      </c>
      <c r="C27" s="73">
        <v>0.0</v>
      </c>
      <c r="E27" s="82">
        <f>E26/300000</f>
        <v>2.07999</v>
      </c>
    </row>
    <row r="28" ht="14.25" customHeight="1">
      <c r="B28" s="73" t="s">
        <v>106</v>
      </c>
      <c r="C28" s="81">
        <f>C24+C27</f>
        <v>844104</v>
      </c>
      <c r="E28" s="81">
        <f>E24+E26</f>
        <v>1154960</v>
      </c>
    </row>
    <row r="29" ht="14.25" customHeight="1">
      <c r="B29" s="73" t="s">
        <v>107</v>
      </c>
      <c r="C29" s="82">
        <f>C28/500000</f>
        <v>1.688208</v>
      </c>
      <c r="D29" s="82"/>
      <c r="E29" s="82">
        <f>E28/300000</f>
        <v>3.849866667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